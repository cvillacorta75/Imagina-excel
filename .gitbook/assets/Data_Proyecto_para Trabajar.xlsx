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8/"/>
    </mc:Choice>
  </mc:AlternateContent>
  <xr:revisionPtr revIDLastSave="310" documentId="8_{636A903F-6DE6-4FA1-A448-5ED44AEFE08E}" xr6:coauthVersionLast="47" xr6:coauthVersionMax="47" xr10:uidLastSave="{6A25B36B-4FFB-4565-A49C-15851AC9A76C}"/>
  <bookViews>
    <workbookView xWindow="-30" yWindow="40" windowWidth="19200" windowHeight="9600" firstSheet="3" activeTab="10" xr2:uid="{5437A36A-1779-41D7-A24D-BC0FAB166DAE}"/>
  </bookViews>
  <sheets>
    <sheet name="Detalle1" sheetId="7" r:id="rId1"/>
    <sheet name="ANALISIS" sheetId="2" r:id="rId2"/>
    <sheet name="ANALISIS (2)" sheetId="6" r:id="rId3"/>
    <sheet name="Hoja6" sheetId="12" r:id="rId4"/>
    <sheet name="Hoja5" sheetId="10" r:id="rId5"/>
    <sheet name="Hoja4" sheetId="9" r:id="rId6"/>
    <sheet name="Hoja3" sheetId="8" r:id="rId7"/>
    <sheet name="Hoja2" sheetId="5" r:id="rId8"/>
    <sheet name="Hoja1" sheetId="4" r:id="rId9"/>
    <sheet name="Importaciones" sheetId="1" r:id="rId10"/>
    <sheet name="Informe" sheetId="3" r:id="rId11"/>
  </sheets>
  <definedNames>
    <definedName name="_xlnm._FilterDatabase" localSheetId="9" hidden="1">Importaciones!$B$1:$L$880</definedName>
    <definedName name="_xlnm.Print_Titles" localSheetId="10">Informe!$1:$2</definedName>
  </definedNames>
  <calcPr calcId="191028"/>
  <pivotCaches>
    <pivotCache cacheId="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3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</calcChain>
</file>

<file path=xl/sharedStrings.xml><?xml version="1.0" encoding="utf-8"?>
<sst xmlns="http://schemas.openxmlformats.org/spreadsheetml/2006/main" count="4822" uniqueCount="86">
  <si>
    <t>Fecha de Compra</t>
  </si>
  <si>
    <t>Codigo_Estudio</t>
  </si>
  <si>
    <t>Categoria_Producto</t>
  </si>
  <si>
    <t>Ventas_2020</t>
  </si>
  <si>
    <t>PrecioUS$</t>
  </si>
  <si>
    <t>Aprobación_Veterinaria</t>
  </si>
  <si>
    <t>Codigo_Vendedor</t>
  </si>
  <si>
    <t>Pais_Producto</t>
  </si>
  <si>
    <t>Tamaño_mascota</t>
  </si>
  <si>
    <t>Tipo_mascota</t>
  </si>
  <si>
    <t>rating_segun encuesta a Consumidor</t>
  </si>
  <si>
    <t>Repite compra?</t>
  </si>
  <si>
    <t>ventas totales</t>
  </si>
  <si>
    <t>Aprobacion</t>
  </si>
  <si>
    <t>Potencial de repeticion</t>
  </si>
  <si>
    <t>Equipment</t>
  </si>
  <si>
    <t>VC_1605</t>
  </si>
  <si>
    <t>Vietnam</t>
  </si>
  <si>
    <t>small</t>
  </si>
  <si>
    <t>fish</t>
  </si>
  <si>
    <t>Toys</t>
  </si>
  <si>
    <t>VC_1132</t>
  </si>
  <si>
    <t>India</t>
  </si>
  <si>
    <t>cat</t>
  </si>
  <si>
    <t>VC_802</t>
  </si>
  <si>
    <t>hamster</t>
  </si>
  <si>
    <t>Snack</t>
  </si>
  <si>
    <t>VC_929</t>
  </si>
  <si>
    <t>large</t>
  </si>
  <si>
    <t>dog</t>
  </si>
  <si>
    <t>Supplements</t>
  </si>
  <si>
    <t>VC_749</t>
  </si>
  <si>
    <t>Bedding</t>
  </si>
  <si>
    <t>VC_1174</t>
  </si>
  <si>
    <t>VC_945</t>
  </si>
  <si>
    <t>extra_small</t>
  </si>
  <si>
    <t>VC_954</t>
  </si>
  <si>
    <t>VC_1262</t>
  </si>
  <si>
    <t>Belgium</t>
  </si>
  <si>
    <t>Medicine</t>
  </si>
  <si>
    <t>VC_803</t>
  </si>
  <si>
    <t>medium</t>
  </si>
  <si>
    <t>Housing</t>
  </si>
  <si>
    <t>Food</t>
  </si>
  <si>
    <t>Singapore</t>
  </si>
  <si>
    <t>extra_large</t>
  </si>
  <si>
    <t>Clothes</t>
  </si>
  <si>
    <t>Accessory</t>
  </si>
  <si>
    <t>Turkey</t>
  </si>
  <si>
    <t>bird</t>
  </si>
  <si>
    <t>USA</t>
  </si>
  <si>
    <t>Grooming</t>
  </si>
  <si>
    <t>Sri Lanka</t>
  </si>
  <si>
    <t>rabbit</t>
  </si>
  <si>
    <t>Germany</t>
  </si>
  <si>
    <t>Japan</t>
  </si>
  <si>
    <t>Menor 5</t>
  </si>
  <si>
    <t>Regular</t>
  </si>
  <si>
    <t>Bueno</t>
  </si>
  <si>
    <t>Excelente</t>
  </si>
  <si>
    <t>Mayor a 8</t>
  </si>
  <si>
    <t>Calificacion</t>
  </si>
  <si>
    <t>Entre 5 y 6</t>
  </si>
  <si>
    <t>Entre 6 y 8</t>
  </si>
  <si>
    <t>xxxx</t>
  </si>
  <si>
    <t>Total general</t>
  </si>
  <si>
    <t>Suma de ventas totales</t>
  </si>
  <si>
    <t>Suma de Ventas_2020</t>
  </si>
  <si>
    <t>Total Snack</t>
  </si>
  <si>
    <t>Total Equipment</t>
  </si>
  <si>
    <t>Total Medicine</t>
  </si>
  <si>
    <t>Total Supplements</t>
  </si>
  <si>
    <t>Total Food</t>
  </si>
  <si>
    <t>Total Accessory</t>
  </si>
  <si>
    <t>Total Clothes</t>
  </si>
  <si>
    <t>Total Bedding</t>
  </si>
  <si>
    <t>Total Grooming</t>
  </si>
  <si>
    <t>Total Housing</t>
  </si>
  <si>
    <t>Valores</t>
  </si>
  <si>
    <t>Total Suma de ventas totales</t>
  </si>
  <si>
    <t>Total Suma de Ventas_2020</t>
  </si>
  <si>
    <t>APROBADO</t>
  </si>
  <si>
    <t>REPITE</t>
  </si>
  <si>
    <t>Detalles para Suma de ventas totales - Categoria_Producto: Medicine, Aprobacion: APROBADO, Potencial de repeticion: REPITE, Pais_Producto: Belgium (+)</t>
  </si>
  <si>
    <t>(Varios elementos)</t>
  </si>
  <si>
    <t>ESTUDIO DE NUEVA CATEGORIA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</si>
</sst>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pivotButton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164" formatCode="#,##0.00\ &quot;€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Trabajar.xlsx]ANALISIS (2)!TablaDinámica2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 PAIS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'ANALISIS (2)'!$E$5:$E$6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(2)'!$E$7:$E$18</c:f>
              <c:numCache>
                <c:formatCode>#,##0.00\ "€"</c:formatCode>
                <c:ptCount val="11"/>
                <c:pt idx="0">
                  <c:v>26081.387999999999</c:v>
                </c:pt>
                <c:pt idx="1">
                  <c:v>25501.620000000003</c:v>
                </c:pt>
                <c:pt idx="2">
                  <c:v>46804.331999999995</c:v>
                </c:pt>
                <c:pt idx="3">
                  <c:v>46322.135999999999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7-47E4-945A-F212FD5A9D19}"/>
            </c:ext>
          </c:extLst>
        </c:ser>
        <c:ser>
          <c:idx val="1"/>
          <c:order val="1"/>
          <c:tx>
            <c:strRef>
              <c:f>'ANALISIS (2)'!$F$5:$F$6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(2)'!$F$7:$F$18</c:f>
              <c:numCache>
                <c:formatCode>#,##0.00\ "€"</c:formatCode>
                <c:ptCount val="11"/>
                <c:pt idx="0">
                  <c:v>29207.544000000005</c:v>
                </c:pt>
                <c:pt idx="1">
                  <c:v>89365.14</c:v>
                </c:pt>
                <c:pt idx="2">
                  <c:v>116141.36400000002</c:v>
                </c:pt>
                <c:pt idx="3">
                  <c:v>1254.624</c:v>
                </c:pt>
                <c:pt idx="5">
                  <c:v>43583.724000000002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7-47E4-945A-F212FD5A9D19}"/>
            </c:ext>
          </c:extLst>
        </c:ser>
        <c:ser>
          <c:idx val="2"/>
          <c:order val="2"/>
          <c:tx>
            <c:strRef>
              <c:f>'ANALISIS (2)'!$G$5:$G$6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(2)'!$G$7:$G$18</c:f>
              <c:numCache>
                <c:formatCode>#,##0.00\ "€"</c:formatCode>
                <c:ptCount val="11"/>
                <c:pt idx="0">
                  <c:v>205851.76800000004</c:v>
                </c:pt>
                <c:pt idx="1">
                  <c:v>166904.54399999999</c:v>
                </c:pt>
                <c:pt idx="2">
                  <c:v>133130.92800000001</c:v>
                </c:pt>
                <c:pt idx="3">
                  <c:v>200405.47200000001</c:v>
                </c:pt>
                <c:pt idx="4">
                  <c:v>339280.86</c:v>
                </c:pt>
                <c:pt idx="5">
                  <c:v>136695.264</c:v>
                </c:pt>
                <c:pt idx="6">
                  <c:v>191331.03599999999</c:v>
                </c:pt>
                <c:pt idx="7">
                  <c:v>216148.128</c:v>
                </c:pt>
                <c:pt idx="8">
                  <c:v>161655.17999999996</c:v>
                </c:pt>
                <c:pt idx="9">
                  <c:v>160522.70400000003</c:v>
                </c:pt>
                <c:pt idx="10">
                  <c:v>136116.01199999999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17-47E4-945A-F212FD5A9D19}"/>
            </c:ext>
          </c:extLst>
        </c:ser>
        <c:ser>
          <c:idx val="3"/>
          <c:order val="3"/>
          <c:tx>
            <c:strRef>
              <c:f>'ANALISIS (2)'!$H$5:$H$6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(2)'!$H$7:$H$18</c:f>
              <c:numCache>
                <c:formatCode>#,##0.00\ "€"</c:formatCode>
                <c:ptCount val="11"/>
                <c:pt idx="0">
                  <c:v>73135.955999999991</c:v>
                </c:pt>
                <c:pt idx="1">
                  <c:v>35826.744000000006</c:v>
                </c:pt>
                <c:pt idx="2">
                  <c:v>39816.516000000003</c:v>
                </c:pt>
                <c:pt idx="3">
                  <c:v>22509.132000000001</c:v>
                </c:pt>
                <c:pt idx="5">
                  <c:v>84295.536000000007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17-47E4-945A-F212FD5A9D19}"/>
            </c:ext>
          </c:extLst>
        </c:ser>
        <c:ser>
          <c:idx val="4"/>
          <c:order val="4"/>
          <c:tx>
            <c:strRef>
              <c:f>'ANALISIS (2)'!$I$5:$I$6</c:f>
              <c:strCache>
                <c:ptCount val="1"/>
                <c:pt idx="0">
                  <c:v>Sri Lanka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(2)'!$I$7:$I$18</c:f>
              <c:numCache>
                <c:formatCode>#,##0.00\ "€"</c:formatCode>
                <c:ptCount val="11"/>
                <c:pt idx="0">
                  <c:v>47730.923999999999</c:v>
                </c:pt>
                <c:pt idx="1">
                  <c:v>54213.972000000009</c:v>
                </c:pt>
                <c:pt idx="2">
                  <c:v>8104.14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17-47E4-945A-F212FD5A9D19}"/>
            </c:ext>
          </c:extLst>
        </c:ser>
        <c:ser>
          <c:idx val="5"/>
          <c:order val="5"/>
          <c:tx>
            <c:strRef>
              <c:f>'ANALISIS (2)'!$J$5:$J$6</c:f>
              <c:strCache>
                <c:ptCount val="1"/>
                <c:pt idx="0">
                  <c:v>Turkey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(2)'!$J$7:$J$18</c:f>
              <c:numCache>
                <c:formatCode>#,##0.00\ "€"</c:formatCode>
                <c:ptCount val="11"/>
                <c:pt idx="0">
                  <c:v>104749.056</c:v>
                </c:pt>
                <c:pt idx="1">
                  <c:v>10389.252</c:v>
                </c:pt>
                <c:pt idx="2">
                  <c:v>52534.476000000002</c:v>
                </c:pt>
                <c:pt idx="3">
                  <c:v>7752.4560000000001</c:v>
                </c:pt>
                <c:pt idx="5">
                  <c:v>19942.284</c:v>
                </c:pt>
                <c:pt idx="6">
                  <c:v>19637.544000000002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17-47E4-945A-F212FD5A9D19}"/>
            </c:ext>
          </c:extLst>
        </c:ser>
        <c:ser>
          <c:idx val="6"/>
          <c:order val="6"/>
          <c:tx>
            <c:strRef>
              <c:f>'ANALISIS (2)'!$K$5:$K$6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(2)'!$K$7:$K$18</c:f>
              <c:numCache>
                <c:formatCode>#,##0.00\ "€"</c:formatCode>
                <c:ptCount val="11"/>
                <c:pt idx="0">
                  <c:v>31045.367999999999</c:v>
                </c:pt>
                <c:pt idx="1">
                  <c:v>78204.791999999987</c:v>
                </c:pt>
                <c:pt idx="2">
                  <c:v>17788.416000000001</c:v>
                </c:pt>
                <c:pt idx="3">
                  <c:v>74387.460000000006</c:v>
                </c:pt>
                <c:pt idx="5">
                  <c:v>25123.103999999999</c:v>
                </c:pt>
                <c:pt idx="6">
                  <c:v>30630.095999999998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17-47E4-945A-F212FD5A9D19}"/>
            </c:ext>
          </c:extLst>
        </c:ser>
        <c:ser>
          <c:idx val="7"/>
          <c:order val="7"/>
          <c:tx>
            <c:strRef>
              <c:f>'ANALISIS (2)'!$L$5:$L$6</c:f>
              <c:strCache>
                <c:ptCount val="1"/>
                <c:pt idx="0">
                  <c:v>Vietnam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(2)'!$L$7:$L$18</c:f>
              <c:numCache>
                <c:formatCode>#,##0.00\ "€"</c:formatCode>
                <c:ptCount val="11"/>
                <c:pt idx="0">
                  <c:v>73815.240000000005</c:v>
                </c:pt>
                <c:pt idx="1">
                  <c:v>59876.567999999999</c:v>
                </c:pt>
                <c:pt idx="2">
                  <c:v>55300.608000000007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617-47E4-945A-F212FD5A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6959367"/>
        <c:axId val="626981895"/>
      </c:barChart>
      <c:catAx>
        <c:axId val="62695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81895"/>
        <c:crosses val="autoZero"/>
        <c:auto val="1"/>
        <c:lblAlgn val="ctr"/>
        <c:lblOffset val="100"/>
        <c:noMultiLvlLbl val="0"/>
      </c:catAx>
      <c:valAx>
        <c:axId val="62698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59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88137326207719"/>
          <c:y val="0.93762345053402973"/>
          <c:w val="0.63343136324826865"/>
          <c:h val="4.45547672877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Trabajar.xlsx]ANALISIS (2)!TablaDinámica3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Categorías x Tipo de Mascota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  <c:pivotFmt>
        <c:idx val="8"/>
        <c:spPr>
          <a:solidFill>
            <a:srgbClr val="FFFF00"/>
          </a:solidFill>
          <a:ln>
            <a:noFill/>
          </a:ln>
          <a:effectLst/>
        </c:spPr>
      </c:pivotFmt>
      <c:pivotFmt>
        <c:idx val="9"/>
        <c:spPr>
          <a:solidFill>
            <a:srgbClr val="FFFF0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(2)'!$C$28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7A-4F2F-B4AD-822469BC33B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A-4F2F-B4AD-822469BC33BE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A-4F2F-B4AD-822469BC33BE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7A-4F2F-B4AD-822469BC33BE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7A-4F2F-B4AD-822469BC33BE}"/>
              </c:ext>
            </c:extLst>
          </c:dPt>
          <c:cat>
            <c:multiLvlStrRef>
              <c:f>'ANALISIS (2)'!$A$29:$B$40</c:f>
              <c:multiLvlStrCache>
                <c:ptCount val="9"/>
                <c:lvl>
                  <c:pt idx="0">
                    <c:v>bird</c:v>
                  </c:pt>
                  <c:pt idx="1">
                    <c:v>cat</c:v>
                  </c:pt>
                  <c:pt idx="2">
                    <c:v>dog</c:v>
                  </c:pt>
                  <c:pt idx="3">
                    <c:v>fish</c:v>
                  </c:pt>
                  <c:pt idx="4">
                    <c:v>rabbit</c:v>
                  </c:pt>
                  <c:pt idx="5">
                    <c:v>bird</c:v>
                  </c:pt>
                  <c:pt idx="6">
                    <c:v>cat</c:v>
                  </c:pt>
                  <c:pt idx="7">
                    <c:v>dog</c:v>
                  </c:pt>
                  <c:pt idx="8">
                    <c:v>fish</c:v>
                  </c:pt>
                </c:lvl>
                <c:lvl>
                  <c:pt idx="0">
                    <c:v>Equipment</c:v>
                  </c:pt>
                  <c:pt idx="5">
                    <c:v>Snack</c:v>
                  </c:pt>
                </c:lvl>
              </c:multiLvlStrCache>
            </c:multiLvlStrRef>
          </c:cat>
          <c:val>
            <c:numRef>
              <c:f>'ANALISIS (2)'!$C$29:$C$40</c:f>
              <c:numCache>
                <c:formatCode>#,##0.00\ "€"</c:formatCode>
                <c:ptCount val="9"/>
                <c:pt idx="0">
                  <c:v>86895.323999999993</c:v>
                </c:pt>
                <c:pt idx="1">
                  <c:v>213661.09199999998</c:v>
                </c:pt>
                <c:pt idx="2">
                  <c:v>179098.75200000004</c:v>
                </c:pt>
                <c:pt idx="3">
                  <c:v>97873.212</c:v>
                </c:pt>
                <c:pt idx="4">
                  <c:v>14088.864000000001</c:v>
                </c:pt>
                <c:pt idx="5">
                  <c:v>113294.592</c:v>
                </c:pt>
                <c:pt idx="6">
                  <c:v>149141.32799999998</c:v>
                </c:pt>
                <c:pt idx="7">
                  <c:v>191722.22399999999</c:v>
                </c:pt>
                <c:pt idx="8">
                  <c:v>66124.487999999998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A-4F2F-B4AD-822469BC3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072840"/>
        <c:axId val="1122900488"/>
      </c:barChart>
      <c:catAx>
        <c:axId val="71007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00488"/>
        <c:crosses val="autoZero"/>
        <c:auto val="1"/>
        <c:lblAlgn val="ctr"/>
        <c:lblOffset val="100"/>
        <c:noMultiLvlLbl val="0"/>
      </c:catAx>
      <c:valAx>
        <c:axId val="112290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2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Trabajar.xlsx]ANALISIS (2)!TablaDinámica4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 de mascota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'ANALISIS (2)'!$B$47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86-4BF8-9D06-8E81E2049D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86-4BF8-9D06-8E81E2049D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86-4BF8-9D06-8E81E2049D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86-4BF8-9D06-8E81E2049D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86-4BF8-9D06-8E81E2049D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DAE9F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(2)'!$A$48:$A$53</c:f>
              <c:strCache>
                <c:ptCount val="5"/>
                <c:pt idx="0">
                  <c:v>extra_large</c:v>
                </c:pt>
                <c:pt idx="1">
                  <c:v>extra_small</c:v>
                </c:pt>
                <c:pt idx="2">
                  <c:v>large</c:v>
                </c:pt>
                <c:pt idx="3">
                  <c:v>medium</c:v>
                </c:pt>
                <c:pt idx="4">
                  <c:v>small</c:v>
                </c:pt>
              </c:strCache>
            </c:strRef>
          </c:cat>
          <c:val>
            <c:numRef>
              <c:f>'ANALISIS (2)'!$B$48:$B$53</c:f>
              <c:numCache>
                <c:formatCode>#,##0.00\ "€"</c:formatCode>
                <c:ptCount val="5"/>
                <c:pt idx="0">
                  <c:v>45367.164000000004</c:v>
                </c:pt>
                <c:pt idx="1">
                  <c:v>121020.01199999999</c:v>
                </c:pt>
                <c:pt idx="2">
                  <c:v>59812.47600000001</c:v>
                </c:pt>
                <c:pt idx="3">
                  <c:v>496228.07999999996</c:v>
                </c:pt>
                <c:pt idx="4">
                  <c:v>389472.14400000003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9-4874-AF1C-60FF5A7046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Trabajar.xlsx]Hoja5!TablaDinámica1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comerciales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Hoja5!$B$5:$B$6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Hoja5!$A$7:$A$17</c:f>
              <c:strCache>
                <c:ptCount val="10"/>
                <c:pt idx="0">
                  <c:v>VC_1132</c:v>
                </c:pt>
                <c:pt idx="1">
                  <c:v>VC_1174</c:v>
                </c:pt>
                <c:pt idx="2">
                  <c:v>VC_1262</c:v>
                </c:pt>
                <c:pt idx="3">
                  <c:v>VC_1605</c:v>
                </c:pt>
                <c:pt idx="4">
                  <c:v>VC_749</c:v>
                </c:pt>
                <c:pt idx="5">
                  <c:v>VC_802</c:v>
                </c:pt>
                <c:pt idx="6">
                  <c:v>VC_803</c:v>
                </c:pt>
                <c:pt idx="7">
                  <c:v>VC_929</c:v>
                </c:pt>
                <c:pt idx="8">
                  <c:v>VC_945</c:v>
                </c:pt>
                <c:pt idx="9">
                  <c:v>VC_954</c:v>
                </c:pt>
              </c:strCache>
            </c:strRef>
          </c:cat>
          <c:val>
            <c:numRef>
              <c:f>Hoja5!$B$7:$B$17</c:f>
              <c:numCache>
                <c:formatCode>#,##0.00\ "€"</c:formatCode>
                <c:ptCount val="10"/>
                <c:pt idx="0">
                  <c:v>43168.067999999999</c:v>
                </c:pt>
                <c:pt idx="1">
                  <c:v>16487.22</c:v>
                </c:pt>
                <c:pt idx="3">
                  <c:v>27012.576000000001</c:v>
                </c:pt>
                <c:pt idx="4">
                  <c:v>129664.728</c:v>
                </c:pt>
                <c:pt idx="5">
                  <c:v>81533.051999999996</c:v>
                </c:pt>
                <c:pt idx="6">
                  <c:v>53292.467999999993</c:v>
                </c:pt>
                <c:pt idx="7">
                  <c:v>133444.236</c:v>
                </c:pt>
                <c:pt idx="8">
                  <c:v>33133.800000000003</c:v>
                </c:pt>
                <c:pt idx="9">
                  <c:v>73881.096000000005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D-4517-AEA5-490B51C57713}"/>
            </c:ext>
          </c:extLst>
        </c:ser>
        <c:ser>
          <c:idx val="1"/>
          <c:order val="1"/>
          <c:tx>
            <c:strRef>
              <c:f>Hoja5!$C$5:$C$6</c:f>
              <c:strCache>
                <c:ptCount val="1"/>
                <c:pt idx="0">
                  <c:v>Snack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Hoja5!$A$7:$A$17</c:f>
              <c:strCache>
                <c:ptCount val="10"/>
                <c:pt idx="0">
                  <c:v>VC_1132</c:v>
                </c:pt>
                <c:pt idx="1">
                  <c:v>VC_1174</c:v>
                </c:pt>
                <c:pt idx="2">
                  <c:v>VC_1262</c:v>
                </c:pt>
                <c:pt idx="3">
                  <c:v>VC_1605</c:v>
                </c:pt>
                <c:pt idx="4">
                  <c:v>VC_749</c:v>
                </c:pt>
                <c:pt idx="5">
                  <c:v>VC_802</c:v>
                </c:pt>
                <c:pt idx="6">
                  <c:v>VC_803</c:v>
                </c:pt>
                <c:pt idx="7">
                  <c:v>VC_929</c:v>
                </c:pt>
                <c:pt idx="8">
                  <c:v>VC_945</c:v>
                </c:pt>
                <c:pt idx="9">
                  <c:v>VC_954</c:v>
                </c:pt>
              </c:strCache>
            </c:strRef>
          </c:cat>
          <c:val>
            <c:numRef>
              <c:f>Hoja5!$C$7:$C$17</c:f>
              <c:numCache>
                <c:formatCode>#,##0.00\ "€"</c:formatCode>
                <c:ptCount val="10"/>
                <c:pt idx="0">
                  <c:v>76125.84</c:v>
                </c:pt>
                <c:pt idx="1">
                  <c:v>108466.22400000002</c:v>
                </c:pt>
                <c:pt idx="2">
                  <c:v>5843.7120000000004</c:v>
                </c:pt>
                <c:pt idx="3">
                  <c:v>90539.927999999985</c:v>
                </c:pt>
                <c:pt idx="4">
                  <c:v>17560.62</c:v>
                </c:pt>
                <c:pt idx="5">
                  <c:v>43128.888000000006</c:v>
                </c:pt>
                <c:pt idx="6">
                  <c:v>33585.707999999999</c:v>
                </c:pt>
                <c:pt idx="7">
                  <c:v>79752.804000000004</c:v>
                </c:pt>
                <c:pt idx="8">
                  <c:v>65278.907999999996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AD-4517-AEA5-490B51C57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8404487"/>
        <c:axId val="648412679"/>
      </c:barChart>
      <c:catAx>
        <c:axId val="648404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12679"/>
        <c:crosses val="autoZero"/>
        <c:auto val="1"/>
        <c:lblAlgn val="ctr"/>
        <c:lblOffset val="100"/>
        <c:noMultiLvlLbl val="0"/>
      </c:catAx>
      <c:valAx>
        <c:axId val="6484126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648404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[Data_Proyecto_para Trabajar.xlsx]ANALISIS (2)!TablaDinámica1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CATEGORIAS</a:t>
            </a:r>
          </a:p>
        </c:rich>
      </c:tx>
      <c:layout>
        <c:manualLayout>
          <c:xMode val="edge"/>
          <c:yMode val="edge"/>
          <c:x val="0.31757387181441027"/>
          <c:y val="2.42074927953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2">
              <a:tint val="4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1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2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3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4"/>
        <c:spPr>
          <a:solidFill>
            <a:schemeClr val="accent2">
              <a:tint val="89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6"/>
        <c:spPr>
          <a:solidFill>
            <a:schemeClr val="accent2">
              <a:shade val="8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7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8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9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0"/>
        <c:spPr>
          <a:solidFill>
            <a:schemeClr val="accent2">
              <a:shade val="4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2">
              <a:tint val="4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3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4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5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6"/>
        <c:spPr>
          <a:solidFill>
            <a:schemeClr val="accent2">
              <a:tint val="89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8"/>
        <c:spPr>
          <a:solidFill>
            <a:schemeClr val="accent2">
              <a:shade val="8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9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0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1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2"/>
        <c:spPr>
          <a:solidFill>
            <a:schemeClr val="accent2">
              <a:shade val="4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2">
              <a:tint val="4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5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6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7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8"/>
        <c:spPr>
          <a:solidFill>
            <a:schemeClr val="accent2">
              <a:tint val="89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0"/>
        <c:spPr>
          <a:solidFill>
            <a:schemeClr val="accent2">
              <a:shade val="8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1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2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3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4"/>
        <c:spPr>
          <a:solidFill>
            <a:schemeClr val="accent2">
              <a:shade val="4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'ANALISIS (2)'!$B$4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68-42A4-959F-ACE5B7369BFA}"/>
              </c:ext>
            </c:extLst>
          </c:dPt>
          <c:dPt>
            <c:idx val="1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68-42A4-959F-ACE5B7369BFA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68-42A4-959F-ACE5B7369BFA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68-42A4-959F-ACE5B7369BFA}"/>
              </c:ext>
            </c:extLst>
          </c:dPt>
          <c:dPt>
            <c:idx val="4"/>
            <c:bubble3D val="0"/>
            <c:spPr>
              <a:solidFill>
                <a:schemeClr val="accent2">
                  <a:tint val="89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68-42A4-959F-ACE5B7369BFA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68-42A4-959F-ACE5B7369BFA}"/>
              </c:ext>
            </c:extLst>
          </c:dPt>
          <c:dPt>
            <c:idx val="6"/>
            <c:bubble3D val="0"/>
            <c:spPr>
              <a:solidFill>
                <a:schemeClr val="accent2">
                  <a:shade val="8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D68-42A4-959F-ACE5B7369BFA}"/>
              </c:ext>
            </c:extLst>
          </c:dPt>
          <c:dPt>
            <c:idx val="7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D68-42A4-959F-ACE5B7369BFA}"/>
              </c:ext>
            </c:extLst>
          </c:dPt>
          <c:dPt>
            <c:idx val="8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D68-42A4-959F-ACE5B7369BFA}"/>
              </c:ext>
            </c:extLst>
          </c:dPt>
          <c:dPt>
            <c:idx val="9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D68-42A4-959F-ACE5B7369BFA}"/>
              </c:ext>
            </c:extLst>
          </c:dPt>
          <c:dPt>
            <c:idx val="10"/>
            <c:bubble3D val="0"/>
            <c:spPr>
              <a:solidFill>
                <a:schemeClr val="accent2">
                  <a:shade val="4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D68-42A4-959F-ACE5B7369BF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(2)'!$A$5:$A$16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(2)'!$B$5:$B$16</c:f>
              <c:numCache>
                <c:formatCode>#,##0.00\ "€"</c:formatCode>
                <c:ptCount val="11"/>
                <c:pt idx="0">
                  <c:v>591617.24399999995</c:v>
                </c:pt>
                <c:pt idx="1">
                  <c:v>520282.63199999993</c:v>
                </c:pt>
                <c:pt idx="2">
                  <c:v>469620.78</c:v>
                </c:pt>
                <c:pt idx="3">
                  <c:v>352631.28</c:v>
                </c:pt>
                <c:pt idx="4">
                  <c:v>339280.86</c:v>
                </c:pt>
                <c:pt idx="5">
                  <c:v>309639.91199999995</c:v>
                </c:pt>
                <c:pt idx="6">
                  <c:v>241598.67600000001</c:v>
                </c:pt>
                <c:pt idx="7">
                  <c:v>216148.128</c:v>
                </c:pt>
                <c:pt idx="8">
                  <c:v>161655.17999999996</c:v>
                </c:pt>
                <c:pt idx="9">
                  <c:v>160522.70400000003</c:v>
                </c:pt>
                <c:pt idx="10">
                  <c:v>136116.01199999999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D68-42A4-959F-ACE5B7369B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Trabajar.xlsx]ANALISIS (2)!TablaDinámica2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 PAIS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'ANALISIS (2)'!$E$5:$E$6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(2)'!$E$7:$E$18</c:f>
              <c:numCache>
                <c:formatCode>#,##0.00\ "€"</c:formatCode>
                <c:ptCount val="11"/>
                <c:pt idx="0">
                  <c:v>26081.387999999999</c:v>
                </c:pt>
                <c:pt idx="1">
                  <c:v>25501.620000000003</c:v>
                </c:pt>
                <c:pt idx="2">
                  <c:v>46804.331999999995</c:v>
                </c:pt>
                <c:pt idx="3">
                  <c:v>46322.135999999999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0-4924-88B8-B50FFF864AA1}"/>
            </c:ext>
          </c:extLst>
        </c:ser>
        <c:ser>
          <c:idx val="1"/>
          <c:order val="1"/>
          <c:tx>
            <c:strRef>
              <c:f>'ANALISIS (2)'!$F$5:$F$6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(2)'!$F$7:$F$18</c:f>
              <c:numCache>
                <c:formatCode>#,##0.00\ "€"</c:formatCode>
                <c:ptCount val="11"/>
                <c:pt idx="0">
                  <c:v>29207.544000000005</c:v>
                </c:pt>
                <c:pt idx="1">
                  <c:v>89365.14</c:v>
                </c:pt>
                <c:pt idx="2">
                  <c:v>116141.36400000002</c:v>
                </c:pt>
                <c:pt idx="3">
                  <c:v>1254.624</c:v>
                </c:pt>
                <c:pt idx="5">
                  <c:v>43583.724000000002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0-4924-88B8-B50FFF864AA1}"/>
            </c:ext>
          </c:extLst>
        </c:ser>
        <c:ser>
          <c:idx val="2"/>
          <c:order val="2"/>
          <c:tx>
            <c:strRef>
              <c:f>'ANALISIS (2)'!$G$5:$G$6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(2)'!$G$7:$G$18</c:f>
              <c:numCache>
                <c:formatCode>#,##0.00\ "€"</c:formatCode>
                <c:ptCount val="11"/>
                <c:pt idx="0">
                  <c:v>205851.76800000004</c:v>
                </c:pt>
                <c:pt idx="1">
                  <c:v>166904.54399999999</c:v>
                </c:pt>
                <c:pt idx="2">
                  <c:v>133130.92800000001</c:v>
                </c:pt>
                <c:pt idx="3">
                  <c:v>200405.47200000001</c:v>
                </c:pt>
                <c:pt idx="4">
                  <c:v>339280.86</c:v>
                </c:pt>
                <c:pt idx="5">
                  <c:v>136695.264</c:v>
                </c:pt>
                <c:pt idx="6">
                  <c:v>191331.03599999999</c:v>
                </c:pt>
                <c:pt idx="7">
                  <c:v>216148.128</c:v>
                </c:pt>
                <c:pt idx="8">
                  <c:v>161655.17999999996</c:v>
                </c:pt>
                <c:pt idx="9">
                  <c:v>160522.70400000003</c:v>
                </c:pt>
                <c:pt idx="10">
                  <c:v>136116.01199999999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0-4924-88B8-B50FFF864AA1}"/>
            </c:ext>
          </c:extLst>
        </c:ser>
        <c:ser>
          <c:idx val="3"/>
          <c:order val="3"/>
          <c:tx>
            <c:strRef>
              <c:f>'ANALISIS (2)'!$H$5:$H$6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(2)'!$H$7:$H$18</c:f>
              <c:numCache>
                <c:formatCode>#,##0.00\ "€"</c:formatCode>
                <c:ptCount val="11"/>
                <c:pt idx="0">
                  <c:v>73135.955999999991</c:v>
                </c:pt>
                <c:pt idx="1">
                  <c:v>35826.744000000006</c:v>
                </c:pt>
                <c:pt idx="2">
                  <c:v>39816.516000000003</c:v>
                </c:pt>
                <c:pt idx="3">
                  <c:v>22509.132000000001</c:v>
                </c:pt>
                <c:pt idx="5">
                  <c:v>84295.536000000007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A0-4924-88B8-B50FFF864AA1}"/>
            </c:ext>
          </c:extLst>
        </c:ser>
        <c:ser>
          <c:idx val="4"/>
          <c:order val="4"/>
          <c:tx>
            <c:strRef>
              <c:f>'ANALISIS (2)'!$I$5:$I$6</c:f>
              <c:strCache>
                <c:ptCount val="1"/>
                <c:pt idx="0">
                  <c:v>Sri Lanka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(2)'!$I$7:$I$18</c:f>
              <c:numCache>
                <c:formatCode>#,##0.00\ "€"</c:formatCode>
                <c:ptCount val="11"/>
                <c:pt idx="0">
                  <c:v>47730.923999999999</c:v>
                </c:pt>
                <c:pt idx="1">
                  <c:v>54213.972000000009</c:v>
                </c:pt>
                <c:pt idx="2">
                  <c:v>8104.14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A0-4924-88B8-B50FFF864AA1}"/>
            </c:ext>
          </c:extLst>
        </c:ser>
        <c:ser>
          <c:idx val="5"/>
          <c:order val="5"/>
          <c:tx>
            <c:strRef>
              <c:f>'ANALISIS (2)'!$J$5:$J$6</c:f>
              <c:strCache>
                <c:ptCount val="1"/>
                <c:pt idx="0">
                  <c:v>Turkey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(2)'!$J$7:$J$18</c:f>
              <c:numCache>
                <c:formatCode>#,##0.00\ "€"</c:formatCode>
                <c:ptCount val="11"/>
                <c:pt idx="0">
                  <c:v>104749.056</c:v>
                </c:pt>
                <c:pt idx="1">
                  <c:v>10389.252</c:v>
                </c:pt>
                <c:pt idx="2">
                  <c:v>52534.476000000002</c:v>
                </c:pt>
                <c:pt idx="3">
                  <c:v>7752.4560000000001</c:v>
                </c:pt>
                <c:pt idx="5">
                  <c:v>19942.284</c:v>
                </c:pt>
                <c:pt idx="6">
                  <c:v>19637.544000000002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A0-4924-88B8-B50FFF864AA1}"/>
            </c:ext>
          </c:extLst>
        </c:ser>
        <c:ser>
          <c:idx val="6"/>
          <c:order val="6"/>
          <c:tx>
            <c:strRef>
              <c:f>'ANALISIS (2)'!$K$5:$K$6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(2)'!$K$7:$K$18</c:f>
              <c:numCache>
                <c:formatCode>#,##0.00\ "€"</c:formatCode>
                <c:ptCount val="11"/>
                <c:pt idx="0">
                  <c:v>31045.367999999999</c:v>
                </c:pt>
                <c:pt idx="1">
                  <c:v>78204.791999999987</c:v>
                </c:pt>
                <c:pt idx="2">
                  <c:v>17788.416000000001</c:v>
                </c:pt>
                <c:pt idx="3">
                  <c:v>74387.460000000006</c:v>
                </c:pt>
                <c:pt idx="5">
                  <c:v>25123.103999999999</c:v>
                </c:pt>
                <c:pt idx="6">
                  <c:v>30630.095999999998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A0-4924-88B8-B50FFF864AA1}"/>
            </c:ext>
          </c:extLst>
        </c:ser>
        <c:ser>
          <c:idx val="7"/>
          <c:order val="7"/>
          <c:tx>
            <c:strRef>
              <c:f>'ANALISIS (2)'!$L$5:$L$6</c:f>
              <c:strCache>
                <c:ptCount val="1"/>
                <c:pt idx="0">
                  <c:v>Vietnam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'ANALISIS (2)'!$D$7:$D$18</c:f>
              <c:strCache>
                <c:ptCount val="11"/>
                <c:pt idx="0">
                  <c:v>Equipment</c:v>
                </c:pt>
                <c:pt idx="1">
                  <c:v>Snack</c:v>
                </c:pt>
                <c:pt idx="2">
                  <c:v>Toys</c:v>
                </c:pt>
                <c:pt idx="3">
                  <c:v>Medicine</c:v>
                </c:pt>
                <c:pt idx="4">
                  <c:v>Accessory</c:v>
                </c:pt>
                <c:pt idx="5">
                  <c:v>Food</c:v>
                </c:pt>
                <c:pt idx="6">
                  <c:v>Supplements</c:v>
                </c:pt>
                <c:pt idx="7">
                  <c:v>Housing</c:v>
                </c:pt>
                <c:pt idx="8">
                  <c:v>Bedding</c:v>
                </c:pt>
                <c:pt idx="9">
                  <c:v>Clothes</c:v>
                </c:pt>
                <c:pt idx="10">
                  <c:v>Grooming</c:v>
                </c:pt>
              </c:strCache>
            </c:strRef>
          </c:cat>
          <c:val>
            <c:numRef>
              <c:f>'ANALISIS (2)'!$L$7:$L$18</c:f>
              <c:numCache>
                <c:formatCode>#,##0.00\ "€"</c:formatCode>
                <c:ptCount val="11"/>
                <c:pt idx="0">
                  <c:v>73815.240000000005</c:v>
                </c:pt>
                <c:pt idx="1">
                  <c:v>59876.567999999999</c:v>
                </c:pt>
                <c:pt idx="2">
                  <c:v>55300.608000000007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A0-4924-88B8-B50FFF864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6959367"/>
        <c:axId val="626981895"/>
      </c:barChart>
      <c:catAx>
        <c:axId val="62695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81895"/>
        <c:crosses val="autoZero"/>
        <c:auto val="1"/>
        <c:lblAlgn val="ctr"/>
        <c:lblOffset val="100"/>
        <c:noMultiLvlLbl val="0"/>
      </c:catAx>
      <c:valAx>
        <c:axId val="62698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59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Trabajar.xlsx]Hoja5!TablaDinámica1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comerciales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Hoja5!$B$5:$B$6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Hoja5!$A$7:$A$17</c:f>
              <c:strCache>
                <c:ptCount val="10"/>
                <c:pt idx="0">
                  <c:v>VC_1132</c:v>
                </c:pt>
                <c:pt idx="1">
                  <c:v>VC_1174</c:v>
                </c:pt>
                <c:pt idx="2">
                  <c:v>VC_1262</c:v>
                </c:pt>
                <c:pt idx="3">
                  <c:v>VC_1605</c:v>
                </c:pt>
                <c:pt idx="4">
                  <c:v>VC_749</c:v>
                </c:pt>
                <c:pt idx="5">
                  <c:v>VC_802</c:v>
                </c:pt>
                <c:pt idx="6">
                  <c:v>VC_803</c:v>
                </c:pt>
                <c:pt idx="7">
                  <c:v>VC_929</c:v>
                </c:pt>
                <c:pt idx="8">
                  <c:v>VC_945</c:v>
                </c:pt>
                <c:pt idx="9">
                  <c:v>VC_954</c:v>
                </c:pt>
              </c:strCache>
            </c:strRef>
          </c:cat>
          <c:val>
            <c:numRef>
              <c:f>Hoja5!$B$7:$B$17</c:f>
              <c:numCache>
                <c:formatCode>#,##0.00\ "€"</c:formatCode>
                <c:ptCount val="10"/>
                <c:pt idx="0">
                  <c:v>43168.067999999999</c:v>
                </c:pt>
                <c:pt idx="1">
                  <c:v>16487.22</c:v>
                </c:pt>
                <c:pt idx="3">
                  <c:v>27012.576000000001</c:v>
                </c:pt>
                <c:pt idx="4">
                  <c:v>129664.728</c:v>
                </c:pt>
                <c:pt idx="5">
                  <c:v>81533.051999999996</c:v>
                </c:pt>
                <c:pt idx="6">
                  <c:v>53292.467999999993</c:v>
                </c:pt>
                <c:pt idx="7">
                  <c:v>133444.236</c:v>
                </c:pt>
                <c:pt idx="8">
                  <c:v>33133.800000000003</c:v>
                </c:pt>
                <c:pt idx="9">
                  <c:v>73881.096000000005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1-4D6C-BD91-2EBA4F900512}"/>
            </c:ext>
          </c:extLst>
        </c:ser>
        <c:ser>
          <c:idx val="1"/>
          <c:order val="1"/>
          <c:tx>
            <c:strRef>
              <c:f>Hoja5!$C$5:$C$6</c:f>
              <c:strCache>
                <c:ptCount val="1"/>
                <c:pt idx="0">
                  <c:v>Snack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Hoja5!$A$7:$A$17</c:f>
              <c:strCache>
                <c:ptCount val="10"/>
                <c:pt idx="0">
                  <c:v>VC_1132</c:v>
                </c:pt>
                <c:pt idx="1">
                  <c:v>VC_1174</c:v>
                </c:pt>
                <c:pt idx="2">
                  <c:v>VC_1262</c:v>
                </c:pt>
                <c:pt idx="3">
                  <c:v>VC_1605</c:v>
                </c:pt>
                <c:pt idx="4">
                  <c:v>VC_749</c:v>
                </c:pt>
                <c:pt idx="5">
                  <c:v>VC_802</c:v>
                </c:pt>
                <c:pt idx="6">
                  <c:v>VC_803</c:v>
                </c:pt>
                <c:pt idx="7">
                  <c:v>VC_929</c:v>
                </c:pt>
                <c:pt idx="8">
                  <c:v>VC_945</c:v>
                </c:pt>
                <c:pt idx="9">
                  <c:v>VC_954</c:v>
                </c:pt>
              </c:strCache>
            </c:strRef>
          </c:cat>
          <c:val>
            <c:numRef>
              <c:f>Hoja5!$C$7:$C$17</c:f>
              <c:numCache>
                <c:formatCode>#,##0.00\ "€"</c:formatCode>
                <c:ptCount val="10"/>
                <c:pt idx="0">
                  <c:v>76125.84</c:v>
                </c:pt>
                <c:pt idx="1">
                  <c:v>108466.22400000002</c:v>
                </c:pt>
                <c:pt idx="2">
                  <c:v>5843.7120000000004</c:v>
                </c:pt>
                <c:pt idx="3">
                  <c:v>90539.927999999985</c:v>
                </c:pt>
                <c:pt idx="4">
                  <c:v>17560.62</c:v>
                </c:pt>
                <c:pt idx="5">
                  <c:v>43128.888000000006</c:v>
                </c:pt>
                <c:pt idx="6">
                  <c:v>33585.707999999999</c:v>
                </c:pt>
                <c:pt idx="7">
                  <c:v>79752.804000000004</c:v>
                </c:pt>
                <c:pt idx="8">
                  <c:v>65278.907999999996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D1-4D6C-BD91-2EBA4F9005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8404487"/>
        <c:axId val="648412679"/>
      </c:barChart>
      <c:catAx>
        <c:axId val="648404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12679"/>
        <c:crosses val="autoZero"/>
        <c:auto val="1"/>
        <c:lblAlgn val="ctr"/>
        <c:lblOffset val="100"/>
        <c:noMultiLvlLbl val="0"/>
      </c:catAx>
      <c:valAx>
        <c:axId val="6484126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648404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Trabajar.xlsx]ANALISIS (2)!TablaDinámica3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Categorías x Tipo de Mascota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  <c:pivotFmt>
        <c:idx val="8"/>
        <c:spPr>
          <a:solidFill>
            <a:srgbClr val="FFFF00"/>
          </a:solidFill>
          <a:ln>
            <a:noFill/>
          </a:ln>
          <a:effectLst/>
        </c:spPr>
      </c:pivotFmt>
      <c:pivotFmt>
        <c:idx val="9"/>
        <c:spPr>
          <a:solidFill>
            <a:srgbClr val="FFFF0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FF0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>
            <a:noFill/>
          </a:ln>
          <a:effectLst/>
        </c:spPr>
      </c:pivotFmt>
      <c:pivotFmt>
        <c:idx val="14"/>
        <c:spPr>
          <a:solidFill>
            <a:srgbClr val="FFFF00"/>
          </a:solidFill>
          <a:ln>
            <a:noFill/>
          </a:ln>
          <a:effectLst/>
        </c:spPr>
      </c:pivotFmt>
      <c:pivotFmt>
        <c:idx val="15"/>
        <c:spPr>
          <a:solidFill>
            <a:srgbClr val="FFFF00"/>
          </a:solidFill>
          <a:ln>
            <a:noFill/>
          </a:ln>
          <a:effectLst/>
        </c:spPr>
      </c:pivotFmt>
      <c:pivotFmt>
        <c:idx val="16"/>
        <c:spPr>
          <a:solidFill>
            <a:srgbClr val="FFFF00"/>
          </a:solidFill>
          <a:ln>
            <a:noFill/>
          </a:ln>
          <a:effectLst/>
        </c:spPr>
      </c:pivotFmt>
      <c:pivotFmt>
        <c:idx val="17"/>
        <c:spPr>
          <a:solidFill>
            <a:srgbClr val="FFFF00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</c:spPr>
      </c:pivotFmt>
      <c:pivotFmt>
        <c:idx val="20"/>
        <c:spPr>
          <a:solidFill>
            <a:srgbClr val="FFFF00"/>
          </a:solidFill>
          <a:ln>
            <a:noFill/>
          </a:ln>
          <a:effectLst/>
        </c:spPr>
      </c:pivotFmt>
      <c:pivotFmt>
        <c:idx val="21"/>
        <c:spPr>
          <a:solidFill>
            <a:srgbClr val="FFFF00"/>
          </a:solidFill>
          <a:ln>
            <a:noFill/>
          </a:ln>
          <a:effectLst/>
        </c:spPr>
      </c:pivotFmt>
      <c:pivotFmt>
        <c:idx val="22"/>
        <c:spPr>
          <a:solidFill>
            <a:srgbClr val="FFFF00"/>
          </a:solidFill>
          <a:ln>
            <a:noFill/>
          </a:ln>
          <a:effectLst/>
        </c:spPr>
      </c:pivotFmt>
      <c:pivotFmt>
        <c:idx val="23"/>
        <c:spPr>
          <a:solidFill>
            <a:srgbClr val="FFFF00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FF00"/>
          </a:solidFill>
          <a:ln>
            <a:noFill/>
          </a:ln>
          <a:effectLst/>
        </c:spPr>
      </c:pivotFmt>
      <c:pivotFmt>
        <c:idx val="26"/>
        <c:spPr>
          <a:solidFill>
            <a:srgbClr val="FFFF00"/>
          </a:solidFill>
          <a:ln>
            <a:noFill/>
          </a:ln>
          <a:effectLst/>
        </c:spPr>
      </c:pivotFmt>
      <c:pivotFmt>
        <c:idx val="27"/>
        <c:spPr>
          <a:solidFill>
            <a:srgbClr val="FFFF00"/>
          </a:solidFill>
          <a:ln>
            <a:noFill/>
          </a:ln>
          <a:effectLst/>
        </c:spPr>
      </c:pivotFmt>
      <c:pivotFmt>
        <c:idx val="28"/>
        <c:spPr>
          <a:solidFill>
            <a:srgbClr val="FFFF00"/>
          </a:solidFill>
          <a:ln>
            <a:noFill/>
          </a:ln>
          <a:effectLst/>
        </c:spPr>
      </c:pivotFmt>
      <c:pivotFmt>
        <c:idx val="29"/>
        <c:spPr>
          <a:solidFill>
            <a:srgbClr val="FFFF00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FF00"/>
          </a:solidFill>
          <a:ln>
            <a:noFill/>
          </a:ln>
          <a:effectLst/>
        </c:spPr>
      </c:pivotFmt>
      <c:pivotFmt>
        <c:idx val="32"/>
        <c:spPr>
          <a:solidFill>
            <a:srgbClr val="FFFF00"/>
          </a:solidFill>
          <a:ln>
            <a:noFill/>
          </a:ln>
          <a:effectLst/>
        </c:spPr>
      </c:pivotFmt>
      <c:pivotFmt>
        <c:idx val="33"/>
        <c:spPr>
          <a:solidFill>
            <a:srgbClr val="FFFF00"/>
          </a:solidFill>
          <a:ln>
            <a:noFill/>
          </a:ln>
          <a:effectLst/>
        </c:spPr>
      </c:pivotFmt>
      <c:pivotFmt>
        <c:idx val="34"/>
        <c:spPr>
          <a:solidFill>
            <a:srgbClr val="FFFF00"/>
          </a:solidFill>
          <a:ln>
            <a:noFill/>
          </a:ln>
          <a:effectLst/>
        </c:spPr>
      </c:pivotFmt>
      <c:pivotFmt>
        <c:idx val="35"/>
        <c:spPr>
          <a:solidFill>
            <a:srgbClr val="FFFF00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FF00"/>
          </a:solidFill>
          <a:ln>
            <a:noFill/>
          </a:ln>
          <a:effectLst/>
        </c:spPr>
      </c:pivotFmt>
      <c:pivotFmt>
        <c:idx val="38"/>
        <c:spPr>
          <a:solidFill>
            <a:srgbClr val="FFFF00"/>
          </a:solidFill>
          <a:ln>
            <a:noFill/>
          </a:ln>
          <a:effectLst/>
        </c:spPr>
      </c:pivotFmt>
      <c:pivotFmt>
        <c:idx val="39"/>
        <c:spPr>
          <a:solidFill>
            <a:srgbClr val="FFFF00"/>
          </a:solidFill>
          <a:ln>
            <a:noFill/>
          </a:ln>
          <a:effectLst/>
        </c:spPr>
      </c:pivotFmt>
      <c:pivotFmt>
        <c:idx val="40"/>
        <c:spPr>
          <a:solidFill>
            <a:srgbClr val="FFFF00"/>
          </a:solidFill>
          <a:ln>
            <a:noFill/>
          </a:ln>
          <a:effectLst/>
        </c:spPr>
      </c:pivotFmt>
      <c:pivotFmt>
        <c:idx val="41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(2)'!$C$28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BF-4238-8ABB-C6FC5899DECD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F-4238-8ABB-C6FC5899DEC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F-4238-8ABB-C6FC5899DECD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BF-4238-8ABB-C6FC5899DECD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BF-4238-8ABB-C6FC5899DECD}"/>
              </c:ext>
            </c:extLst>
          </c:dPt>
          <c:cat>
            <c:multiLvlStrRef>
              <c:f>'ANALISIS (2)'!$A$29:$B$40</c:f>
              <c:multiLvlStrCache>
                <c:ptCount val="9"/>
                <c:lvl>
                  <c:pt idx="0">
                    <c:v>bird</c:v>
                  </c:pt>
                  <c:pt idx="1">
                    <c:v>cat</c:v>
                  </c:pt>
                  <c:pt idx="2">
                    <c:v>dog</c:v>
                  </c:pt>
                  <c:pt idx="3">
                    <c:v>fish</c:v>
                  </c:pt>
                  <c:pt idx="4">
                    <c:v>rabbit</c:v>
                  </c:pt>
                  <c:pt idx="5">
                    <c:v>bird</c:v>
                  </c:pt>
                  <c:pt idx="6">
                    <c:v>cat</c:v>
                  </c:pt>
                  <c:pt idx="7">
                    <c:v>dog</c:v>
                  </c:pt>
                  <c:pt idx="8">
                    <c:v>fish</c:v>
                  </c:pt>
                </c:lvl>
                <c:lvl>
                  <c:pt idx="0">
                    <c:v>Equipment</c:v>
                  </c:pt>
                  <c:pt idx="5">
                    <c:v>Snack</c:v>
                  </c:pt>
                </c:lvl>
              </c:multiLvlStrCache>
            </c:multiLvlStrRef>
          </c:cat>
          <c:val>
            <c:numRef>
              <c:f>'ANALISIS (2)'!$C$29:$C$40</c:f>
              <c:numCache>
                <c:formatCode>#,##0.00\ "€"</c:formatCode>
                <c:ptCount val="9"/>
                <c:pt idx="0">
                  <c:v>86895.323999999993</c:v>
                </c:pt>
                <c:pt idx="1">
                  <c:v>213661.09199999998</c:v>
                </c:pt>
                <c:pt idx="2">
                  <c:v>179098.75200000004</c:v>
                </c:pt>
                <c:pt idx="3">
                  <c:v>97873.212</c:v>
                </c:pt>
                <c:pt idx="4">
                  <c:v>14088.864000000001</c:v>
                </c:pt>
                <c:pt idx="5">
                  <c:v>113294.592</c:v>
                </c:pt>
                <c:pt idx="6">
                  <c:v>149141.32799999998</c:v>
                </c:pt>
                <c:pt idx="7">
                  <c:v>191722.22399999999</c:v>
                </c:pt>
                <c:pt idx="8">
                  <c:v>66124.487999999998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BF-4238-8ABB-C6FC5899D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072840"/>
        <c:axId val="1122900488"/>
      </c:barChart>
      <c:catAx>
        <c:axId val="71007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00488"/>
        <c:crosses val="autoZero"/>
        <c:auto val="1"/>
        <c:lblAlgn val="ctr"/>
        <c:lblOffset val="100"/>
        <c:noMultiLvlLbl val="0"/>
      </c:catAx>
      <c:valAx>
        <c:axId val="112290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2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[Data_Proyecto_para Trabajar.xlsx]ANALISIS (2)!TablaDinámica4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 de mascota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AE9F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'ANALISIS (2)'!$B$47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90-43D1-95B8-45EC5D1820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90-43D1-95B8-45EC5D1820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90-43D1-95B8-45EC5D1820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90-43D1-95B8-45EC5D1820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90-43D1-95B8-45EC5D1820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(2)'!$A$48:$A$53</c:f>
              <c:strCache>
                <c:ptCount val="5"/>
                <c:pt idx="0">
                  <c:v>extra_large</c:v>
                </c:pt>
                <c:pt idx="1">
                  <c:v>extra_small</c:v>
                </c:pt>
                <c:pt idx="2">
                  <c:v>large</c:v>
                </c:pt>
                <c:pt idx="3">
                  <c:v>medium</c:v>
                </c:pt>
                <c:pt idx="4">
                  <c:v>small</c:v>
                </c:pt>
              </c:strCache>
            </c:strRef>
          </c:cat>
          <c:val>
            <c:numRef>
              <c:f>'ANALISIS (2)'!$B$48:$B$53</c:f>
              <c:numCache>
                <c:formatCode>#,##0.00\ "€"</c:formatCode>
                <c:ptCount val="5"/>
                <c:pt idx="0">
                  <c:v>45367.164000000004</c:v>
                </c:pt>
                <c:pt idx="1">
                  <c:v>121020.01199999999</c:v>
                </c:pt>
                <c:pt idx="2">
                  <c:v>59812.47600000001</c:v>
                </c:pt>
                <c:pt idx="3">
                  <c:v>496228.07999999996</c:v>
                </c:pt>
                <c:pt idx="4">
                  <c:v>389472.14400000003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90-43D1-95B8-45EC5D1820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</xdr:row>
      <xdr:rowOff>19050</xdr:rowOff>
    </xdr:from>
    <xdr:to>
      <xdr:col>20</xdr:col>
      <xdr:colOff>161925</xdr:colOff>
      <xdr:row>26</xdr:row>
      <xdr:rowOff>66675</xdr:rowOff>
    </xdr:to>
    <xdr:graphicFrame macro="">
      <xdr:nvGraphicFramePr>
        <xdr:cNvPr id="44" name="Gráfico 8">
          <a:extLst>
            <a:ext uri="{FF2B5EF4-FFF2-40B4-BE49-F238E27FC236}">
              <a16:creationId xmlns:a16="http://schemas.microsoft.com/office/drawing/2014/main" id="{1BCD9F36-9E1E-F2DA-1A26-E4FA304F7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400050</xdr:colOff>
      <xdr:row>26</xdr:row>
      <xdr:rowOff>47625</xdr:rowOff>
    </xdr:from>
    <xdr:to>
      <xdr:col>7</xdr:col>
      <xdr:colOff>228600</xdr:colOff>
      <xdr:row>40</xdr:row>
      <xdr:rowOff>123825</xdr:rowOff>
    </xdr:to>
    <xdr:graphicFrame macro="">
      <xdr:nvGraphicFramePr>
        <xdr:cNvPr id="54" name="Gráfico 44">
          <a:extLst>
            <a:ext uri="{FF2B5EF4-FFF2-40B4-BE49-F238E27FC236}">
              <a16:creationId xmlns:a16="http://schemas.microsoft.com/office/drawing/2014/main" id="{BF8433EC-F8A4-C3E6-242E-E9591745123A}"/>
            </a:ext>
            <a:ext uri="{147F2762-F138-4A5C-976F-8EAC2B608ADB}">
              <a16:predDERef xmlns:a16="http://schemas.microsoft.com/office/drawing/2014/main" pred="{1BCD9F36-9E1E-F2DA-1A26-E4FA304F7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1085850</xdr:colOff>
      <xdr:row>41</xdr:row>
      <xdr:rowOff>104775</xdr:rowOff>
    </xdr:from>
    <xdr:to>
      <xdr:col>6</xdr:col>
      <xdr:colOff>790575</xdr:colOff>
      <xdr:row>56</xdr:row>
      <xdr:rowOff>19050</xdr:rowOff>
    </xdr:to>
    <xdr:graphicFrame macro="">
      <xdr:nvGraphicFramePr>
        <xdr:cNvPr id="69" name="Gráfico 4">
          <a:extLst>
            <a:ext uri="{FF2B5EF4-FFF2-40B4-BE49-F238E27FC236}">
              <a16:creationId xmlns:a16="http://schemas.microsoft.com/office/drawing/2014/main" id="{61D18AFD-5758-7D6D-92CF-34CF3571A4E3}"/>
            </a:ext>
            <a:ext uri="{147F2762-F138-4A5C-976F-8EAC2B608ADB}">
              <a16:predDERef xmlns:a16="http://schemas.microsoft.com/office/drawing/2014/main" pred="{BF8433EC-F8A4-C3E6-242E-E95917451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933450</xdr:colOff>
      <xdr:row>1</xdr:row>
      <xdr:rowOff>180975</xdr:rowOff>
    </xdr:from>
    <xdr:to>
      <xdr:col>12</xdr:col>
      <xdr:colOff>409575</xdr:colOff>
      <xdr:row>21</xdr:row>
      <xdr:rowOff>171450</xdr:rowOff>
    </xdr:to>
    <xdr:graphicFrame macro="">
      <xdr:nvGraphicFramePr>
        <xdr:cNvPr id="22" name="Gráfico 2">
          <a:extLst>
            <a:ext uri="{FF2B5EF4-FFF2-40B4-BE49-F238E27FC236}">
              <a16:creationId xmlns:a16="http://schemas.microsoft.com/office/drawing/2014/main" id="{044601B8-1644-C7BC-1668-4AD024A91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</xdr:row>
      <xdr:rowOff>76200</xdr:rowOff>
    </xdr:from>
    <xdr:to>
      <xdr:col>9</xdr:col>
      <xdr:colOff>209550</xdr:colOff>
      <xdr:row>23</xdr:row>
      <xdr:rowOff>161925</xdr:rowOff>
    </xdr:to>
    <xdr:graphicFrame macro="">
      <xdr:nvGraphicFramePr>
        <xdr:cNvPr id="31" name="Gráfico 1">
          <a:extLst>
            <a:ext uri="{FF2B5EF4-FFF2-40B4-BE49-F238E27FC236}">
              <a16:creationId xmlns:a16="http://schemas.microsoft.com/office/drawing/2014/main" id="{629C2209-16C3-4F89-ACBA-712E113AEB91}"/>
            </a:ext>
            <a:ext uri="{147F2762-F138-4A5C-976F-8EAC2B608ADB}">
              <a16:predDERef xmlns:a16="http://schemas.microsoft.com/office/drawing/2014/main" pred="{07D33415-9070-9120-2E4E-E4384E7A2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428625</xdr:colOff>
      <xdr:row>3</xdr:row>
      <xdr:rowOff>38100</xdr:rowOff>
    </xdr:from>
    <xdr:to>
      <xdr:col>21</xdr:col>
      <xdr:colOff>228600</xdr:colOff>
      <xdr:row>28</xdr:row>
      <xdr:rowOff>85725</xdr:rowOff>
    </xdr:to>
    <xdr:graphicFrame macro="">
      <xdr:nvGraphicFramePr>
        <xdr:cNvPr id="14" name="Gráfico 8">
          <a:extLst>
            <a:ext uri="{FF2B5EF4-FFF2-40B4-BE49-F238E27FC236}">
              <a16:creationId xmlns:a16="http://schemas.microsoft.com/office/drawing/2014/main" id="{AEBBF5A1-3A07-4B78-9F64-6EF35A9C0DB7}"/>
            </a:ext>
            <a:ext uri="{147F2762-F138-4A5C-976F-8EAC2B608ADB}">
              <a16:predDERef xmlns:a16="http://schemas.microsoft.com/office/drawing/2014/main" pred="{629C2209-16C3-4F89-ACBA-712E113AE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190500</xdr:colOff>
      <xdr:row>48</xdr:row>
      <xdr:rowOff>180975</xdr:rowOff>
    </xdr:to>
    <xdr:graphicFrame macro="">
      <xdr:nvGraphicFramePr>
        <xdr:cNvPr id="16" name="Gráfico 2">
          <a:extLst>
            <a:ext uri="{FF2B5EF4-FFF2-40B4-BE49-F238E27FC236}">
              <a16:creationId xmlns:a16="http://schemas.microsoft.com/office/drawing/2014/main" id="{928C028B-44D3-4466-AE58-3308E568C89F}"/>
            </a:ext>
            <a:ext uri="{147F2762-F138-4A5C-976F-8EAC2B608ADB}">
              <a16:predDERef xmlns:a16="http://schemas.microsoft.com/office/drawing/2014/main" pred="{AEBBF5A1-3A07-4B78-9F64-6EF35A9C0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400050</xdr:colOff>
      <xdr:row>31</xdr:row>
      <xdr:rowOff>57150</xdr:rowOff>
    </xdr:from>
    <xdr:to>
      <xdr:col>20</xdr:col>
      <xdr:colOff>504825</xdr:colOff>
      <xdr:row>47</xdr:row>
      <xdr:rowOff>57150</xdr:rowOff>
    </xdr:to>
    <xdr:graphicFrame macro="">
      <xdr:nvGraphicFramePr>
        <xdr:cNvPr id="26" name="Gráfico 15">
          <a:extLst>
            <a:ext uri="{FF2B5EF4-FFF2-40B4-BE49-F238E27FC236}">
              <a16:creationId xmlns:a16="http://schemas.microsoft.com/office/drawing/2014/main" id="{115999DE-5E15-449B-9291-32268B9D6D12}"/>
            </a:ext>
            <a:ext uri="{147F2762-F138-4A5C-976F-8EAC2B608ADB}">
              <a16:predDERef xmlns:a16="http://schemas.microsoft.com/office/drawing/2014/main" pred="{928C028B-44D3-4466-AE58-3308E568C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49</xdr:row>
      <xdr:rowOff>180975</xdr:rowOff>
    </xdr:from>
    <xdr:to>
      <xdr:col>14</xdr:col>
      <xdr:colOff>495300</xdr:colOff>
      <xdr:row>64</xdr:row>
      <xdr:rowOff>95250</xdr:rowOff>
    </xdr:to>
    <xdr:graphicFrame macro="">
      <xdr:nvGraphicFramePr>
        <xdr:cNvPr id="27" name="Gráfico 1">
          <a:extLst>
            <a:ext uri="{FF2B5EF4-FFF2-40B4-BE49-F238E27FC236}">
              <a16:creationId xmlns:a16="http://schemas.microsoft.com/office/drawing/2014/main" id="{9DD8A4E8-D39B-4D90-A7A1-5108D0A06CEB}"/>
            </a:ext>
            <a:ext uri="{147F2762-F138-4A5C-976F-8EAC2B608ADB}">
              <a16:predDERef xmlns:a16="http://schemas.microsoft.com/office/drawing/2014/main" pred="{115999DE-5E15-449B-9291-32268B9D6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34.600534606485" createdVersion="8" refreshedVersion="8" minRefreshableVersion="3" recordCount="879" xr:uid="{CA641ACE-C34B-49B7-BC1E-6536F3F1F99C}">
  <cacheSource type="worksheet">
    <worksheetSource name="tabla1"/>
  </cacheSource>
  <cacheFields count="16">
    <cacheField name="Fecha de Compra" numFmtId="14">
      <sharedItems containsSemiMixedTypes="0" containsNonDate="0" containsDate="1" containsString="0" minDate="2020-01-01T00:00:00" maxDate="2020-12-30T00:00:00"/>
    </cacheField>
    <cacheField name="Codigo_Estudio" numFmtId="0">
      <sharedItems containsSemiMixedTypes="0" containsString="0" containsNumber="1" containsInteger="1" minValue="4172" maxValue="5050"/>
    </cacheField>
    <cacheField name="Categoria_Producto" numFmtId="0">
      <sharedItems count="11">
        <s v="Equipment"/>
        <s v="Toys"/>
        <s v="Snack"/>
        <s v="Supplements"/>
        <s v="Bedding"/>
        <s v="Medicine"/>
        <s v="Housing"/>
        <s v="Food"/>
        <s v="Clothes"/>
        <s v="Accessory"/>
        <s v="Grooming"/>
      </sharedItems>
    </cacheField>
    <cacheField name="Ventas_2020" numFmtId="0">
      <sharedItems containsSemiMixedTypes="0" containsString="0" containsNumber="1" containsInteger="1" minValue="3" maxValue="230"/>
    </cacheField>
    <cacheField name="PrecioUS$" numFmtId="0">
      <sharedItems containsSemiMixedTypes="0" containsString="0" containsNumber="1" minValue="0.32400000000000001" maxValue="233.256"/>
    </cacheField>
    <cacheField name="Aprobación_Veterinaria" numFmtId="0">
      <sharedItems containsSemiMixedTypes="0" containsString="0" containsNumber="1" containsInteger="1" minValue="0" maxValue="1" count="2">
        <n v="0"/>
        <n v="1"/>
      </sharedItems>
    </cacheField>
    <cacheField name="Codigo_Vendedor" numFmtId="0">
      <sharedItems count="10">
        <s v="VC_1605"/>
        <s v="VC_1132"/>
        <s v="VC_802"/>
        <s v="VC_929"/>
        <s v="VC_749"/>
        <s v="VC_1174"/>
        <s v="VC_945"/>
        <s v="VC_954"/>
        <s v="VC_1262"/>
        <s v="VC_803"/>
      </sharedItems>
    </cacheField>
    <cacheField name="Pais_Producto" numFmtId="0">
      <sharedItems count="9">
        <s v="Vietnam"/>
        <s v="India"/>
        <s v="Belgium"/>
        <s v="Singapore"/>
        <s v="Turkey"/>
        <s v="USA"/>
        <s v="Sri Lanka"/>
        <s v="Germany"/>
        <s v="Japan"/>
      </sharedItems>
    </cacheField>
    <cacheField name="Tamaño_mascota" numFmtId="0">
      <sharedItems count="5">
        <s v="small"/>
        <s v="large"/>
        <s v="extra_small"/>
        <s v="medium"/>
        <s v="extra_large"/>
      </sharedItems>
    </cacheField>
    <cacheField name="Tipo_mascota" numFmtId="0">
      <sharedItems count="6">
        <s v="fish"/>
        <s v="cat"/>
        <s v="hamster"/>
        <s v="dog"/>
        <s v="bird"/>
        <s v="rabbit"/>
      </sharedItems>
    </cacheField>
    <cacheField name="rating_segun encuesta a Consumidor" numFmtId="0">
      <sharedItems containsSemiMixedTypes="0" containsString="0" containsNumber="1" containsInteger="1" minValue="1" maxValue="10"/>
    </cacheField>
    <cacheField name="Repite compra?" numFmtId="0">
      <sharedItems containsSemiMixedTypes="0" containsString="0" containsNumber="1" containsInteger="1" minValue="0" maxValue="1"/>
    </cacheField>
    <cacheField name="ventas totales" numFmtId="164">
      <sharedItems containsSemiMixedTypes="0" containsString="0" containsNumber="1" minValue="39.312000000000005" maxValue="50928.648000000001"/>
    </cacheField>
    <cacheField name="Aprobacion" numFmtId="164">
      <sharedItems count="2">
        <s v="NO APROBADO"/>
        <s v="APROBADO"/>
      </sharedItems>
    </cacheField>
    <cacheField name="Potencial de repeticion" numFmtId="0">
      <sharedItems count="2">
        <s v="REPITE"/>
        <s v="NO REPITE"/>
      </sharedItems>
    </cacheField>
    <cacheField name="Calificac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">
  <r>
    <d v="2020-08-28T00:00:00"/>
    <n v="5040"/>
    <x v="0"/>
    <n v="123"/>
    <n v="87.516000000000005"/>
    <x v="0"/>
    <x v="0"/>
    <x v="0"/>
    <x v="0"/>
    <x v="0"/>
    <n v="7"/>
    <n v="1"/>
    <n v="10764.468000000001"/>
    <x v="0"/>
    <x v="0"/>
    <s v="Bueno"/>
  </r>
  <r>
    <d v="2020-06-16T00:00:00"/>
    <n v="4567"/>
    <x v="1"/>
    <n v="61"/>
    <n v="111.648"/>
    <x v="1"/>
    <x v="1"/>
    <x v="1"/>
    <x v="0"/>
    <x v="1"/>
    <n v="10"/>
    <n v="0"/>
    <n v="6810.5279999999993"/>
    <x v="1"/>
    <x v="1"/>
    <s v="Excelente"/>
  </r>
  <r>
    <d v="2020-04-04T00:00:00"/>
    <n v="4237"/>
    <x v="1"/>
    <n v="218"/>
    <n v="98.16"/>
    <x v="0"/>
    <x v="2"/>
    <x v="1"/>
    <x v="0"/>
    <x v="2"/>
    <n v="6"/>
    <n v="0"/>
    <n v="21398.880000000001"/>
    <x v="0"/>
    <x v="1"/>
    <s v="Bueno"/>
  </r>
  <r>
    <d v="2020-03-08T00:00:00"/>
    <n v="4364"/>
    <x v="2"/>
    <n v="69"/>
    <n v="222.708"/>
    <x v="1"/>
    <x v="3"/>
    <x v="1"/>
    <x v="1"/>
    <x v="3"/>
    <n v="1"/>
    <n v="1"/>
    <n v="15366.852000000001"/>
    <x v="1"/>
    <x v="0"/>
    <s v="Regular"/>
  </r>
  <r>
    <d v="2020-04-11T00:00:00"/>
    <n v="4184"/>
    <x v="3"/>
    <n v="138"/>
    <n v="123.396"/>
    <x v="1"/>
    <x v="4"/>
    <x v="1"/>
    <x v="1"/>
    <x v="3"/>
    <n v="10"/>
    <n v="0"/>
    <n v="17028.648000000001"/>
    <x v="1"/>
    <x v="1"/>
    <s v="Excelente"/>
  </r>
  <r>
    <d v="2020-05-28T00:00:00"/>
    <n v="4609"/>
    <x v="4"/>
    <n v="183"/>
    <n v="47.628"/>
    <x v="1"/>
    <x v="5"/>
    <x v="1"/>
    <x v="1"/>
    <x v="1"/>
    <n v="10"/>
    <n v="0"/>
    <n v="8715.9240000000009"/>
    <x v="1"/>
    <x v="1"/>
    <s v="Excelente"/>
  </r>
  <r>
    <d v="2020-08-22T00:00:00"/>
    <n v="4380"/>
    <x v="1"/>
    <n v="79"/>
    <n v="162.22800000000001"/>
    <x v="1"/>
    <x v="6"/>
    <x v="1"/>
    <x v="2"/>
    <x v="3"/>
    <n v="8"/>
    <n v="0"/>
    <n v="12816.012000000001"/>
    <x v="1"/>
    <x v="1"/>
    <s v="Bueno"/>
  </r>
  <r>
    <d v="2020-07-23T00:00:00"/>
    <n v="4389"/>
    <x v="4"/>
    <n v="205"/>
    <n v="156.93600000000001"/>
    <x v="0"/>
    <x v="7"/>
    <x v="1"/>
    <x v="1"/>
    <x v="1"/>
    <n v="9"/>
    <n v="0"/>
    <n v="32171.88"/>
    <x v="0"/>
    <x v="1"/>
    <s v="Excelente"/>
  </r>
  <r>
    <d v="2020-11-25T00:00:00"/>
    <n v="4697"/>
    <x v="3"/>
    <n v="116"/>
    <n v="164.41200000000001"/>
    <x v="0"/>
    <x v="8"/>
    <x v="2"/>
    <x v="0"/>
    <x v="1"/>
    <n v="10"/>
    <n v="0"/>
    <n v="19071.792000000001"/>
    <x v="0"/>
    <x v="1"/>
    <s v="Excelente"/>
  </r>
  <r>
    <d v="2020-01-09T00:00:00"/>
    <n v="4238"/>
    <x v="5"/>
    <n v="141"/>
    <n v="228.98400000000001"/>
    <x v="1"/>
    <x v="9"/>
    <x v="1"/>
    <x v="3"/>
    <x v="3"/>
    <n v="10"/>
    <n v="1"/>
    <n v="32286.744000000002"/>
    <x v="1"/>
    <x v="0"/>
    <s v="Excelente"/>
  </r>
  <r>
    <d v="2020-06-16T00:00:00"/>
    <n v="4650"/>
    <x v="2"/>
    <n v="185"/>
    <n v="173.74799999999999"/>
    <x v="1"/>
    <x v="0"/>
    <x v="1"/>
    <x v="2"/>
    <x v="3"/>
    <n v="10"/>
    <n v="1"/>
    <n v="32143.379999999997"/>
    <x v="1"/>
    <x v="0"/>
    <s v="Excelente"/>
  </r>
  <r>
    <d v="2020-12-23T00:00:00"/>
    <n v="4360"/>
    <x v="3"/>
    <n v="50"/>
    <n v="117.336"/>
    <x v="1"/>
    <x v="1"/>
    <x v="1"/>
    <x v="2"/>
    <x v="3"/>
    <n v="10"/>
    <n v="0"/>
    <n v="5866.8"/>
    <x v="1"/>
    <x v="1"/>
    <s v="Excelente"/>
  </r>
  <r>
    <d v="2020-01-22T00:00:00"/>
    <n v="4588"/>
    <x v="6"/>
    <n v="93"/>
    <n v="195.20400000000001"/>
    <x v="0"/>
    <x v="2"/>
    <x v="1"/>
    <x v="3"/>
    <x v="3"/>
    <n v="10"/>
    <n v="1"/>
    <n v="18153.972000000002"/>
    <x v="0"/>
    <x v="0"/>
    <s v="Excelente"/>
  </r>
  <r>
    <d v="2020-11-13T00:00:00"/>
    <n v="4319"/>
    <x v="7"/>
    <n v="192"/>
    <n v="55.488"/>
    <x v="0"/>
    <x v="3"/>
    <x v="1"/>
    <x v="1"/>
    <x v="1"/>
    <n v="3"/>
    <n v="0"/>
    <n v="10653.696"/>
    <x v="0"/>
    <x v="1"/>
    <s v="Regular"/>
  </r>
  <r>
    <d v="2020-07-20T00:00:00"/>
    <n v="4613"/>
    <x v="3"/>
    <n v="186"/>
    <n v="158.4"/>
    <x v="1"/>
    <x v="4"/>
    <x v="1"/>
    <x v="3"/>
    <x v="1"/>
    <n v="10"/>
    <n v="1"/>
    <n v="29462.400000000001"/>
    <x v="1"/>
    <x v="0"/>
    <s v="Excelente"/>
  </r>
  <r>
    <d v="2020-06-18T00:00:00"/>
    <n v="4890"/>
    <x v="0"/>
    <n v="182"/>
    <n v="159.756"/>
    <x v="1"/>
    <x v="5"/>
    <x v="3"/>
    <x v="0"/>
    <x v="3"/>
    <n v="6"/>
    <n v="0"/>
    <n v="29075.592000000001"/>
    <x v="1"/>
    <x v="1"/>
    <s v="Bueno"/>
  </r>
  <r>
    <d v="2020-04-12T00:00:00"/>
    <n v="4777"/>
    <x v="2"/>
    <n v="229"/>
    <n v="41.747999999999998"/>
    <x v="0"/>
    <x v="6"/>
    <x v="2"/>
    <x v="3"/>
    <x v="1"/>
    <n v="7"/>
    <n v="0"/>
    <n v="9560.2919999999995"/>
    <x v="0"/>
    <x v="1"/>
    <s v="Bueno"/>
  </r>
  <r>
    <d v="2020-01-10T00:00:00"/>
    <n v="4541"/>
    <x v="0"/>
    <n v="185"/>
    <n v="101.02800000000001"/>
    <x v="1"/>
    <x v="7"/>
    <x v="1"/>
    <x v="4"/>
    <x v="1"/>
    <n v="10"/>
    <n v="0"/>
    <n v="18690.18"/>
    <x v="1"/>
    <x v="1"/>
    <s v="Excelente"/>
  </r>
  <r>
    <d v="2020-04-23T00:00:00"/>
    <n v="4737"/>
    <x v="7"/>
    <n v="129"/>
    <n v="141.804"/>
    <x v="1"/>
    <x v="8"/>
    <x v="2"/>
    <x v="3"/>
    <x v="1"/>
    <n v="7"/>
    <n v="0"/>
    <n v="18292.716"/>
    <x v="1"/>
    <x v="1"/>
    <s v="Bueno"/>
  </r>
  <r>
    <d v="2020-02-19T00:00:00"/>
    <n v="4341"/>
    <x v="7"/>
    <n v="126"/>
    <n v="10.08"/>
    <x v="0"/>
    <x v="9"/>
    <x v="1"/>
    <x v="4"/>
    <x v="1"/>
    <n v="5"/>
    <n v="1"/>
    <n v="1270.08"/>
    <x v="0"/>
    <x v="0"/>
    <s v="Bueno"/>
  </r>
  <r>
    <d v="2020-07-06T00:00:00"/>
    <n v="4478"/>
    <x v="6"/>
    <n v="210"/>
    <n v="180.9"/>
    <x v="1"/>
    <x v="0"/>
    <x v="1"/>
    <x v="3"/>
    <x v="3"/>
    <n v="3"/>
    <n v="1"/>
    <n v="37989"/>
    <x v="1"/>
    <x v="0"/>
    <s v="Regular"/>
  </r>
  <r>
    <d v="2020-04-21T00:00:00"/>
    <n v="4179"/>
    <x v="8"/>
    <n v="93"/>
    <n v="215.292"/>
    <x v="1"/>
    <x v="1"/>
    <x v="1"/>
    <x v="1"/>
    <x v="1"/>
    <n v="3"/>
    <n v="0"/>
    <n v="20022.155999999999"/>
    <x v="1"/>
    <x v="1"/>
    <s v="Regular"/>
  </r>
  <r>
    <d v="2020-03-12T00:00:00"/>
    <n v="4384"/>
    <x v="9"/>
    <n v="204"/>
    <n v="123.696"/>
    <x v="0"/>
    <x v="2"/>
    <x v="1"/>
    <x v="1"/>
    <x v="3"/>
    <n v="1"/>
    <n v="1"/>
    <n v="25233.984"/>
    <x v="0"/>
    <x v="0"/>
    <s v="Regular"/>
  </r>
  <r>
    <d v="2020-10-13T00:00:00"/>
    <n v="4561"/>
    <x v="7"/>
    <n v="224"/>
    <n v="100.28400000000001"/>
    <x v="0"/>
    <x v="3"/>
    <x v="1"/>
    <x v="4"/>
    <x v="1"/>
    <n v="10"/>
    <n v="1"/>
    <n v="22463.616000000002"/>
    <x v="0"/>
    <x v="0"/>
    <s v="Excelente"/>
  </r>
  <r>
    <d v="2020-04-18T00:00:00"/>
    <n v="4271"/>
    <x v="5"/>
    <n v="188"/>
    <n v="20.315999999999999"/>
    <x v="0"/>
    <x v="4"/>
    <x v="1"/>
    <x v="4"/>
    <x v="0"/>
    <n v="4"/>
    <n v="1"/>
    <n v="3819.4079999999999"/>
    <x v="0"/>
    <x v="0"/>
    <s v="Regular"/>
  </r>
  <r>
    <d v="2020-01-05T00:00:00"/>
    <n v="4464"/>
    <x v="0"/>
    <n v="142"/>
    <n v="136.28399999999999"/>
    <x v="0"/>
    <x v="5"/>
    <x v="1"/>
    <x v="1"/>
    <x v="3"/>
    <n v="6"/>
    <n v="0"/>
    <n v="19352.327999999998"/>
    <x v="0"/>
    <x v="1"/>
    <s v="Bueno"/>
  </r>
  <r>
    <d v="2020-10-15T00:00:00"/>
    <n v="4615"/>
    <x v="9"/>
    <n v="131"/>
    <n v="228.46800000000002"/>
    <x v="0"/>
    <x v="6"/>
    <x v="1"/>
    <x v="2"/>
    <x v="1"/>
    <n v="10"/>
    <n v="0"/>
    <n v="29929.308000000001"/>
    <x v="0"/>
    <x v="1"/>
    <s v="Excelente"/>
  </r>
  <r>
    <d v="2020-06-15T00:00:00"/>
    <n v="4671"/>
    <x v="7"/>
    <n v="8"/>
    <n v="215.50800000000001"/>
    <x v="1"/>
    <x v="7"/>
    <x v="1"/>
    <x v="4"/>
    <x v="1"/>
    <n v="10"/>
    <n v="1"/>
    <n v="1724.0640000000001"/>
    <x v="1"/>
    <x v="0"/>
    <s v="Excelente"/>
  </r>
  <r>
    <d v="2020-08-12T00:00:00"/>
    <n v="4456"/>
    <x v="6"/>
    <n v="61"/>
    <n v="165.14400000000001"/>
    <x v="0"/>
    <x v="8"/>
    <x v="1"/>
    <x v="4"/>
    <x v="3"/>
    <n v="6"/>
    <n v="1"/>
    <n v="10073.784"/>
    <x v="0"/>
    <x v="0"/>
    <s v="Bueno"/>
  </r>
  <r>
    <d v="2020-06-19T00:00:00"/>
    <n v="4316"/>
    <x v="3"/>
    <n v="22"/>
    <n v="62.376000000000005"/>
    <x v="1"/>
    <x v="9"/>
    <x v="1"/>
    <x v="4"/>
    <x v="3"/>
    <n v="6"/>
    <n v="1"/>
    <n v="1372.2720000000002"/>
    <x v="1"/>
    <x v="0"/>
    <s v="Bueno"/>
  </r>
  <r>
    <d v="2020-08-17T00:00:00"/>
    <n v="4756"/>
    <x v="5"/>
    <n v="170"/>
    <n v="126.94800000000001"/>
    <x v="1"/>
    <x v="0"/>
    <x v="4"/>
    <x v="0"/>
    <x v="3"/>
    <n v="7"/>
    <n v="0"/>
    <n v="21581.16"/>
    <x v="1"/>
    <x v="1"/>
    <s v="Bueno"/>
  </r>
  <r>
    <d v="2020-03-29T00:00:00"/>
    <n v="5025"/>
    <x v="0"/>
    <n v="172"/>
    <n v="227.70000000000002"/>
    <x v="1"/>
    <x v="1"/>
    <x v="3"/>
    <x v="3"/>
    <x v="4"/>
    <n v="6"/>
    <n v="1"/>
    <n v="39164.400000000001"/>
    <x v="1"/>
    <x v="0"/>
    <s v="Bueno"/>
  </r>
  <r>
    <d v="2020-11-07T00:00:00"/>
    <n v="4595"/>
    <x v="2"/>
    <n v="117"/>
    <n v="113.04"/>
    <x v="1"/>
    <x v="2"/>
    <x v="1"/>
    <x v="2"/>
    <x v="1"/>
    <n v="10"/>
    <n v="0"/>
    <n v="13225.68"/>
    <x v="1"/>
    <x v="1"/>
    <s v="Excelente"/>
  </r>
  <r>
    <d v="2020-08-06T00:00:00"/>
    <n v="4575"/>
    <x v="8"/>
    <n v="74"/>
    <n v="81.372"/>
    <x v="0"/>
    <x v="3"/>
    <x v="1"/>
    <x v="2"/>
    <x v="1"/>
    <n v="10"/>
    <n v="1"/>
    <n v="6021.5280000000002"/>
    <x v="0"/>
    <x v="0"/>
    <s v="Excelente"/>
  </r>
  <r>
    <d v="2020-07-25T00:00:00"/>
    <n v="4891"/>
    <x v="2"/>
    <n v="137"/>
    <n v="217.488"/>
    <x v="0"/>
    <x v="4"/>
    <x v="4"/>
    <x v="3"/>
    <x v="1"/>
    <n v="6"/>
    <n v="0"/>
    <n v="29795.856"/>
    <x v="0"/>
    <x v="1"/>
    <s v="Bueno"/>
  </r>
  <r>
    <d v="2020-01-19T00:00:00"/>
    <n v="4513"/>
    <x v="5"/>
    <n v="42"/>
    <n v="180.56399999999999"/>
    <x v="0"/>
    <x v="5"/>
    <x v="1"/>
    <x v="3"/>
    <x v="1"/>
    <n v="9"/>
    <n v="1"/>
    <n v="7583.6880000000001"/>
    <x v="0"/>
    <x v="0"/>
    <s v="Excelente"/>
  </r>
  <r>
    <d v="2020-11-25T00:00:00"/>
    <n v="4208"/>
    <x v="9"/>
    <n v="218"/>
    <n v="73.835999999999999"/>
    <x v="0"/>
    <x v="6"/>
    <x v="1"/>
    <x v="3"/>
    <x v="3"/>
    <n v="1"/>
    <n v="1"/>
    <n v="16096.248"/>
    <x v="0"/>
    <x v="0"/>
    <s v="Regular"/>
  </r>
  <r>
    <d v="2020-04-07T00:00:00"/>
    <n v="5021"/>
    <x v="1"/>
    <n v="196"/>
    <n v="223.548"/>
    <x v="0"/>
    <x v="7"/>
    <x v="4"/>
    <x v="3"/>
    <x v="4"/>
    <n v="6"/>
    <n v="1"/>
    <n v="43815.408000000003"/>
    <x v="0"/>
    <x v="0"/>
    <s v="Bueno"/>
  </r>
  <r>
    <d v="2020-11-28T00:00:00"/>
    <n v="4224"/>
    <x v="4"/>
    <n v="12"/>
    <n v="131.49600000000001"/>
    <x v="0"/>
    <x v="8"/>
    <x v="1"/>
    <x v="1"/>
    <x v="4"/>
    <n v="1"/>
    <n v="1"/>
    <n v="1577.9520000000002"/>
    <x v="0"/>
    <x v="0"/>
    <s v="Regular"/>
  </r>
  <r>
    <d v="2020-03-11T00:00:00"/>
    <n v="4938"/>
    <x v="0"/>
    <n v="162"/>
    <n v="128.01599999999999"/>
    <x v="0"/>
    <x v="9"/>
    <x v="5"/>
    <x v="0"/>
    <x v="3"/>
    <n v="6"/>
    <n v="0"/>
    <n v="20738.591999999997"/>
    <x v="0"/>
    <x v="1"/>
    <s v="Bueno"/>
  </r>
  <r>
    <d v="2020-02-09T00:00:00"/>
    <n v="4551"/>
    <x v="2"/>
    <n v="100"/>
    <n v="118.86"/>
    <x v="1"/>
    <x v="0"/>
    <x v="1"/>
    <x v="4"/>
    <x v="1"/>
    <n v="10"/>
    <n v="0"/>
    <n v="11886"/>
    <x v="1"/>
    <x v="1"/>
    <s v="Excelente"/>
  </r>
  <r>
    <d v="2020-03-10T00:00:00"/>
    <n v="4477"/>
    <x v="4"/>
    <n v="202"/>
    <n v="77.567999999999998"/>
    <x v="1"/>
    <x v="1"/>
    <x v="1"/>
    <x v="0"/>
    <x v="1"/>
    <n v="6"/>
    <n v="1"/>
    <n v="15668.735999999999"/>
    <x v="1"/>
    <x v="0"/>
    <s v="Bueno"/>
  </r>
  <r>
    <d v="2020-09-09T00:00:00"/>
    <n v="4648"/>
    <x v="9"/>
    <n v="230"/>
    <n v="17.868000000000002"/>
    <x v="0"/>
    <x v="2"/>
    <x v="1"/>
    <x v="3"/>
    <x v="3"/>
    <n v="10"/>
    <n v="0"/>
    <n v="4109.6400000000003"/>
    <x v="0"/>
    <x v="1"/>
    <s v="Excelente"/>
  </r>
  <r>
    <d v="2020-07-08T00:00:00"/>
    <n v="4506"/>
    <x v="7"/>
    <n v="13"/>
    <n v="80.111999999999995"/>
    <x v="1"/>
    <x v="3"/>
    <x v="1"/>
    <x v="4"/>
    <x v="3"/>
    <n v="9"/>
    <n v="1"/>
    <n v="1041.4559999999999"/>
    <x v="1"/>
    <x v="0"/>
    <s v="Excelente"/>
  </r>
  <r>
    <d v="2020-05-01T00:00:00"/>
    <n v="4594"/>
    <x v="7"/>
    <n v="143"/>
    <n v="10.572000000000001"/>
    <x v="0"/>
    <x v="4"/>
    <x v="1"/>
    <x v="1"/>
    <x v="3"/>
    <n v="10"/>
    <n v="0"/>
    <n v="1511.796"/>
    <x v="0"/>
    <x v="1"/>
    <s v="Excelente"/>
  </r>
  <r>
    <d v="2020-09-24T00:00:00"/>
    <n v="4813"/>
    <x v="2"/>
    <n v="53"/>
    <n v="85.308000000000007"/>
    <x v="0"/>
    <x v="5"/>
    <x v="5"/>
    <x v="3"/>
    <x v="1"/>
    <n v="2"/>
    <n v="1"/>
    <n v="4521.3240000000005"/>
    <x v="0"/>
    <x v="0"/>
    <s v="Regular"/>
  </r>
  <r>
    <d v="2020-10-18T00:00:00"/>
    <n v="4273"/>
    <x v="10"/>
    <n v="25"/>
    <n v="63.96"/>
    <x v="0"/>
    <x v="6"/>
    <x v="1"/>
    <x v="3"/>
    <x v="2"/>
    <n v="1"/>
    <n v="0"/>
    <n v="1599"/>
    <x v="0"/>
    <x v="1"/>
    <s v="Regular"/>
  </r>
  <r>
    <d v="2020-12-23T00:00:00"/>
    <n v="4945"/>
    <x v="2"/>
    <n v="21"/>
    <n v="177.88800000000001"/>
    <x v="1"/>
    <x v="7"/>
    <x v="3"/>
    <x v="3"/>
    <x v="1"/>
    <n v="6"/>
    <n v="0"/>
    <n v="3735.6480000000001"/>
    <x v="1"/>
    <x v="1"/>
    <s v="Bueno"/>
  </r>
  <r>
    <d v="2020-10-01T00:00:00"/>
    <n v="4913"/>
    <x v="1"/>
    <n v="213"/>
    <n v="160.82400000000001"/>
    <x v="1"/>
    <x v="8"/>
    <x v="5"/>
    <x v="3"/>
    <x v="1"/>
    <n v="6"/>
    <n v="0"/>
    <n v="34255.512000000002"/>
    <x v="1"/>
    <x v="1"/>
    <s v="Bueno"/>
  </r>
  <r>
    <d v="2020-12-03T00:00:00"/>
    <n v="4640"/>
    <x v="0"/>
    <n v="21"/>
    <n v="170.49600000000001"/>
    <x v="1"/>
    <x v="9"/>
    <x v="1"/>
    <x v="2"/>
    <x v="3"/>
    <n v="10"/>
    <n v="1"/>
    <n v="3580.4160000000002"/>
    <x v="1"/>
    <x v="0"/>
    <s v="Excelente"/>
  </r>
  <r>
    <d v="2020-05-29T00:00:00"/>
    <n v="4427"/>
    <x v="10"/>
    <n v="101"/>
    <n v="11.327999999999999"/>
    <x v="0"/>
    <x v="0"/>
    <x v="1"/>
    <x v="0"/>
    <x v="1"/>
    <n v="2"/>
    <n v="0"/>
    <n v="1144.1279999999999"/>
    <x v="0"/>
    <x v="1"/>
    <s v="Regular"/>
  </r>
  <r>
    <d v="2020-11-11T00:00:00"/>
    <n v="4476"/>
    <x v="8"/>
    <n v="188"/>
    <n v="70.188000000000002"/>
    <x v="0"/>
    <x v="1"/>
    <x v="1"/>
    <x v="4"/>
    <x v="3"/>
    <n v="9"/>
    <n v="1"/>
    <n v="13195.344000000001"/>
    <x v="0"/>
    <x v="0"/>
    <s v="Excelente"/>
  </r>
  <r>
    <d v="2020-04-27T00:00:00"/>
    <n v="4443"/>
    <x v="8"/>
    <n v="225"/>
    <n v="204.13200000000001"/>
    <x v="1"/>
    <x v="2"/>
    <x v="1"/>
    <x v="3"/>
    <x v="1"/>
    <n v="1"/>
    <n v="1"/>
    <n v="45929.700000000004"/>
    <x v="1"/>
    <x v="0"/>
    <s v="Regular"/>
  </r>
  <r>
    <d v="2020-01-02T00:00:00"/>
    <n v="4451"/>
    <x v="7"/>
    <n v="139"/>
    <n v="56.664000000000001"/>
    <x v="0"/>
    <x v="3"/>
    <x v="1"/>
    <x v="4"/>
    <x v="1"/>
    <n v="2"/>
    <n v="1"/>
    <n v="7876.2960000000003"/>
    <x v="0"/>
    <x v="0"/>
    <s v="Regular"/>
  </r>
  <r>
    <d v="2020-11-05T00:00:00"/>
    <n v="4830"/>
    <x v="0"/>
    <n v="140"/>
    <n v="82.091999999999999"/>
    <x v="1"/>
    <x v="4"/>
    <x v="3"/>
    <x v="0"/>
    <x v="3"/>
    <n v="2"/>
    <n v="1"/>
    <n v="11492.88"/>
    <x v="1"/>
    <x v="0"/>
    <s v="Regular"/>
  </r>
  <r>
    <d v="2020-02-09T00:00:00"/>
    <n v="4865"/>
    <x v="1"/>
    <n v="223"/>
    <n v="165.12"/>
    <x v="1"/>
    <x v="5"/>
    <x v="3"/>
    <x v="3"/>
    <x v="1"/>
    <n v="6"/>
    <n v="1"/>
    <n v="36821.760000000002"/>
    <x v="1"/>
    <x v="0"/>
    <s v="Bueno"/>
  </r>
  <r>
    <d v="2020-08-15T00:00:00"/>
    <n v="5001"/>
    <x v="0"/>
    <n v="110"/>
    <n v="188.352"/>
    <x v="0"/>
    <x v="6"/>
    <x v="4"/>
    <x v="3"/>
    <x v="4"/>
    <n v="6"/>
    <n v="0"/>
    <n v="20718.72"/>
    <x v="0"/>
    <x v="1"/>
    <s v="Bueno"/>
  </r>
  <r>
    <d v="2020-08-08T00:00:00"/>
    <n v="5048"/>
    <x v="1"/>
    <n v="66"/>
    <n v="155.86799999999999"/>
    <x v="0"/>
    <x v="7"/>
    <x v="0"/>
    <x v="0"/>
    <x v="0"/>
    <n v="7"/>
    <n v="1"/>
    <n v="10287.288"/>
    <x v="0"/>
    <x v="0"/>
    <s v="Bueno"/>
  </r>
  <r>
    <d v="2020-04-11T00:00:00"/>
    <n v="4509"/>
    <x v="8"/>
    <n v="55"/>
    <n v="158.1"/>
    <x v="1"/>
    <x v="8"/>
    <x v="1"/>
    <x v="1"/>
    <x v="1"/>
    <n v="3"/>
    <n v="1"/>
    <n v="8695.5"/>
    <x v="1"/>
    <x v="0"/>
    <s v="Regular"/>
  </r>
  <r>
    <d v="2020-09-29T00:00:00"/>
    <n v="4441"/>
    <x v="2"/>
    <n v="15"/>
    <n v="168.36"/>
    <x v="1"/>
    <x v="9"/>
    <x v="1"/>
    <x v="4"/>
    <x v="1"/>
    <n v="8"/>
    <n v="1"/>
    <n v="2525.4"/>
    <x v="1"/>
    <x v="0"/>
    <s v="Bueno"/>
  </r>
  <r>
    <d v="2020-02-27T00:00:00"/>
    <n v="4857"/>
    <x v="0"/>
    <n v="25"/>
    <n v="162.696"/>
    <x v="0"/>
    <x v="0"/>
    <x v="2"/>
    <x v="3"/>
    <x v="1"/>
    <n v="1"/>
    <n v="1"/>
    <n v="4067.4"/>
    <x v="0"/>
    <x v="0"/>
    <s v="Regular"/>
  </r>
  <r>
    <d v="2020-01-27T00:00:00"/>
    <n v="4434"/>
    <x v="6"/>
    <n v="170"/>
    <n v="101.352"/>
    <x v="1"/>
    <x v="1"/>
    <x v="1"/>
    <x v="1"/>
    <x v="3"/>
    <n v="2"/>
    <n v="1"/>
    <n v="17229.84"/>
    <x v="1"/>
    <x v="0"/>
    <s v="Regular"/>
  </r>
  <r>
    <d v="2020-12-03T00:00:00"/>
    <n v="4531"/>
    <x v="8"/>
    <n v="88"/>
    <n v="73.944000000000003"/>
    <x v="1"/>
    <x v="2"/>
    <x v="1"/>
    <x v="4"/>
    <x v="1"/>
    <n v="7"/>
    <n v="1"/>
    <n v="6507.0720000000001"/>
    <x v="1"/>
    <x v="0"/>
    <s v="Bueno"/>
  </r>
  <r>
    <d v="2020-06-25T00:00:00"/>
    <n v="5049"/>
    <x v="0"/>
    <n v="74"/>
    <n v="164.66400000000002"/>
    <x v="0"/>
    <x v="3"/>
    <x v="6"/>
    <x v="3"/>
    <x v="4"/>
    <n v="7"/>
    <n v="1"/>
    <n v="12185.136"/>
    <x v="0"/>
    <x v="0"/>
    <s v="Bueno"/>
  </r>
  <r>
    <d v="2020-09-27T00:00:00"/>
    <n v="4818"/>
    <x v="0"/>
    <n v="30"/>
    <n v="202.78800000000001"/>
    <x v="1"/>
    <x v="4"/>
    <x v="5"/>
    <x v="0"/>
    <x v="3"/>
    <n v="2"/>
    <n v="1"/>
    <n v="6083.64"/>
    <x v="1"/>
    <x v="0"/>
    <s v="Regular"/>
  </r>
  <r>
    <d v="2020-08-19T00:00:00"/>
    <n v="4258"/>
    <x v="6"/>
    <n v="202"/>
    <n v="169.32"/>
    <x v="0"/>
    <x v="5"/>
    <x v="1"/>
    <x v="3"/>
    <x v="5"/>
    <n v="2"/>
    <n v="0"/>
    <n v="34202.639999999999"/>
    <x v="0"/>
    <x v="1"/>
    <s v="Regular"/>
  </r>
  <r>
    <d v="2020-11-25T00:00:00"/>
    <n v="4426"/>
    <x v="3"/>
    <n v="228"/>
    <n v="222.84"/>
    <x v="1"/>
    <x v="6"/>
    <x v="1"/>
    <x v="4"/>
    <x v="3"/>
    <n v="8"/>
    <n v="0"/>
    <n v="50807.520000000004"/>
    <x v="1"/>
    <x v="1"/>
    <s v="Bueno"/>
  </r>
  <r>
    <d v="2020-07-12T00:00:00"/>
    <n v="4599"/>
    <x v="6"/>
    <n v="230"/>
    <n v="69.647999999999996"/>
    <x v="1"/>
    <x v="7"/>
    <x v="1"/>
    <x v="1"/>
    <x v="1"/>
    <n v="10"/>
    <n v="1"/>
    <n v="16019.039999999999"/>
    <x v="1"/>
    <x v="0"/>
    <s v="Excelente"/>
  </r>
  <r>
    <d v="2020-05-07T00:00:00"/>
    <n v="4750"/>
    <x v="5"/>
    <n v="111"/>
    <n v="92.76"/>
    <x v="0"/>
    <x v="8"/>
    <x v="3"/>
    <x v="0"/>
    <x v="3"/>
    <n v="7"/>
    <n v="1"/>
    <n v="10296.36"/>
    <x v="0"/>
    <x v="0"/>
    <s v="Bueno"/>
  </r>
  <r>
    <d v="2020-05-13T00:00:00"/>
    <n v="4261"/>
    <x v="3"/>
    <n v="25"/>
    <n v="105.288"/>
    <x v="1"/>
    <x v="9"/>
    <x v="1"/>
    <x v="4"/>
    <x v="2"/>
    <n v="1"/>
    <n v="1"/>
    <n v="2632.2"/>
    <x v="1"/>
    <x v="0"/>
    <s v="Regular"/>
  </r>
  <r>
    <d v="2020-09-16T00:00:00"/>
    <n v="4500"/>
    <x v="6"/>
    <n v="177"/>
    <n v="4.3920000000000003"/>
    <x v="0"/>
    <x v="0"/>
    <x v="1"/>
    <x v="2"/>
    <x v="3"/>
    <n v="8"/>
    <n v="1"/>
    <n v="777.38400000000001"/>
    <x v="0"/>
    <x v="0"/>
    <s v="Bueno"/>
  </r>
  <r>
    <d v="2020-02-10T00:00:00"/>
    <n v="4988"/>
    <x v="1"/>
    <n v="65"/>
    <n v="198.744"/>
    <x v="0"/>
    <x v="1"/>
    <x v="5"/>
    <x v="0"/>
    <x v="0"/>
    <n v="6"/>
    <n v="0"/>
    <n v="12918.36"/>
    <x v="0"/>
    <x v="1"/>
    <s v="Bueno"/>
  </r>
  <r>
    <d v="2020-12-19T00:00:00"/>
    <n v="4482"/>
    <x v="10"/>
    <n v="210"/>
    <n v="24.623999999999999"/>
    <x v="0"/>
    <x v="2"/>
    <x v="1"/>
    <x v="0"/>
    <x v="3"/>
    <n v="4"/>
    <n v="1"/>
    <n v="5171.04"/>
    <x v="0"/>
    <x v="0"/>
    <s v="Regular"/>
  </r>
  <r>
    <d v="2020-07-19T00:00:00"/>
    <n v="4565"/>
    <x v="4"/>
    <n v="85"/>
    <n v="26.268000000000001"/>
    <x v="1"/>
    <x v="3"/>
    <x v="1"/>
    <x v="2"/>
    <x v="1"/>
    <n v="10"/>
    <n v="1"/>
    <n v="2232.7800000000002"/>
    <x v="1"/>
    <x v="0"/>
    <s v="Excelente"/>
  </r>
  <r>
    <d v="2020-01-19T00:00:00"/>
    <n v="4284"/>
    <x v="10"/>
    <n v="202"/>
    <n v="187.584"/>
    <x v="1"/>
    <x v="4"/>
    <x v="1"/>
    <x v="1"/>
    <x v="4"/>
    <n v="4"/>
    <n v="0"/>
    <n v="37891.968000000001"/>
    <x v="1"/>
    <x v="1"/>
    <s v="Regular"/>
  </r>
  <r>
    <d v="2020-04-08T00:00:00"/>
    <n v="4428"/>
    <x v="9"/>
    <n v="140"/>
    <n v="79.536000000000001"/>
    <x v="0"/>
    <x v="5"/>
    <x v="1"/>
    <x v="3"/>
    <x v="3"/>
    <n v="8"/>
    <n v="0"/>
    <n v="11135.04"/>
    <x v="0"/>
    <x v="1"/>
    <s v="Bueno"/>
  </r>
  <r>
    <d v="2020-06-25T00:00:00"/>
    <n v="4215"/>
    <x v="1"/>
    <n v="178"/>
    <n v="144.30000000000001"/>
    <x v="0"/>
    <x v="6"/>
    <x v="1"/>
    <x v="2"/>
    <x v="1"/>
    <n v="3"/>
    <n v="1"/>
    <n v="25685.4"/>
    <x v="0"/>
    <x v="0"/>
    <s v="Regular"/>
  </r>
  <r>
    <d v="2020-10-02T00:00:00"/>
    <n v="4216"/>
    <x v="5"/>
    <n v="151"/>
    <n v="148.93200000000002"/>
    <x v="1"/>
    <x v="7"/>
    <x v="1"/>
    <x v="4"/>
    <x v="5"/>
    <n v="8"/>
    <n v="0"/>
    <n v="22488.732000000004"/>
    <x v="1"/>
    <x v="1"/>
    <s v="Bueno"/>
  </r>
  <r>
    <d v="2020-05-12T00:00:00"/>
    <n v="4995"/>
    <x v="0"/>
    <n v="25"/>
    <n v="85.944000000000003"/>
    <x v="0"/>
    <x v="8"/>
    <x v="3"/>
    <x v="3"/>
    <x v="4"/>
    <n v="6"/>
    <n v="0"/>
    <n v="2148.6"/>
    <x v="0"/>
    <x v="1"/>
    <s v="Bueno"/>
  </r>
  <r>
    <d v="2020-10-04T00:00:00"/>
    <n v="4880"/>
    <x v="1"/>
    <n v="11"/>
    <n v="40.488"/>
    <x v="0"/>
    <x v="9"/>
    <x v="3"/>
    <x v="0"/>
    <x v="3"/>
    <n v="6"/>
    <n v="0"/>
    <n v="445.36799999999999"/>
    <x v="0"/>
    <x v="1"/>
    <s v="Bueno"/>
  </r>
  <r>
    <d v="2020-10-11T00:00:00"/>
    <n v="4253"/>
    <x v="7"/>
    <n v="71"/>
    <n v="199.416"/>
    <x v="1"/>
    <x v="0"/>
    <x v="1"/>
    <x v="3"/>
    <x v="0"/>
    <n v="6"/>
    <n v="1"/>
    <n v="14158.536"/>
    <x v="1"/>
    <x v="0"/>
    <s v="Bueno"/>
  </r>
  <r>
    <d v="2020-04-26T00:00:00"/>
    <n v="4373"/>
    <x v="9"/>
    <n v="138"/>
    <n v="221.136"/>
    <x v="1"/>
    <x v="1"/>
    <x v="1"/>
    <x v="3"/>
    <x v="1"/>
    <n v="5"/>
    <n v="1"/>
    <n v="30516.768"/>
    <x v="1"/>
    <x v="0"/>
    <s v="Bueno"/>
  </r>
  <r>
    <d v="2020-12-14T00:00:00"/>
    <n v="4952"/>
    <x v="1"/>
    <n v="20"/>
    <n v="98.867999999999995"/>
    <x v="1"/>
    <x v="2"/>
    <x v="2"/>
    <x v="0"/>
    <x v="3"/>
    <n v="6"/>
    <n v="0"/>
    <n v="1977.36"/>
    <x v="1"/>
    <x v="1"/>
    <s v="Bueno"/>
  </r>
  <r>
    <d v="2020-11-16T00:00:00"/>
    <n v="4280"/>
    <x v="6"/>
    <n v="64"/>
    <n v="31.032"/>
    <x v="0"/>
    <x v="3"/>
    <x v="1"/>
    <x v="2"/>
    <x v="3"/>
    <n v="7"/>
    <n v="0"/>
    <n v="1986.048"/>
    <x v="0"/>
    <x v="1"/>
    <s v="Bueno"/>
  </r>
  <r>
    <d v="2020-12-02T00:00:00"/>
    <n v="4254"/>
    <x v="2"/>
    <n v="114"/>
    <n v="75.66"/>
    <x v="0"/>
    <x v="4"/>
    <x v="1"/>
    <x v="1"/>
    <x v="4"/>
    <n v="10"/>
    <n v="0"/>
    <n v="8625.24"/>
    <x v="0"/>
    <x v="1"/>
    <s v="Excelente"/>
  </r>
  <r>
    <d v="2020-07-18T00:00:00"/>
    <n v="4682"/>
    <x v="3"/>
    <n v="143"/>
    <n v="196.20000000000002"/>
    <x v="0"/>
    <x v="5"/>
    <x v="1"/>
    <x v="0"/>
    <x v="3"/>
    <n v="10"/>
    <n v="1"/>
    <n v="28056.600000000002"/>
    <x v="0"/>
    <x v="0"/>
    <s v="Excelente"/>
  </r>
  <r>
    <d v="2020-10-14T00:00:00"/>
    <n v="4525"/>
    <x v="3"/>
    <n v="115"/>
    <n v="171.72"/>
    <x v="0"/>
    <x v="6"/>
    <x v="1"/>
    <x v="2"/>
    <x v="1"/>
    <n v="5"/>
    <n v="0"/>
    <n v="19747.8"/>
    <x v="0"/>
    <x v="1"/>
    <s v="Bueno"/>
  </r>
  <r>
    <d v="2020-04-17T00:00:00"/>
    <n v="4191"/>
    <x v="4"/>
    <n v="160"/>
    <n v="211.5"/>
    <x v="0"/>
    <x v="7"/>
    <x v="1"/>
    <x v="4"/>
    <x v="1"/>
    <n v="6"/>
    <n v="1"/>
    <n v="33840"/>
    <x v="0"/>
    <x v="0"/>
    <s v="Bueno"/>
  </r>
  <r>
    <d v="2020-07-17T00:00:00"/>
    <n v="4432"/>
    <x v="8"/>
    <n v="137"/>
    <n v="99.096000000000004"/>
    <x v="1"/>
    <x v="8"/>
    <x v="1"/>
    <x v="0"/>
    <x v="3"/>
    <n v="10"/>
    <n v="0"/>
    <n v="13576.152"/>
    <x v="1"/>
    <x v="1"/>
    <s v="Excelente"/>
  </r>
  <r>
    <d v="2020-10-29T00:00:00"/>
    <n v="4189"/>
    <x v="0"/>
    <n v="17"/>
    <n v="45.887999999999998"/>
    <x v="0"/>
    <x v="9"/>
    <x v="1"/>
    <x v="1"/>
    <x v="2"/>
    <n v="6"/>
    <n v="1"/>
    <n v="780.096"/>
    <x v="0"/>
    <x v="0"/>
    <s v="Bueno"/>
  </r>
  <r>
    <d v="2020-02-22T00:00:00"/>
    <n v="4533"/>
    <x v="6"/>
    <n v="35"/>
    <n v="46.067999999999998"/>
    <x v="1"/>
    <x v="0"/>
    <x v="1"/>
    <x v="3"/>
    <x v="1"/>
    <n v="7"/>
    <n v="1"/>
    <n v="1612.3799999999999"/>
    <x v="1"/>
    <x v="0"/>
    <s v="Bueno"/>
  </r>
  <r>
    <d v="2020-12-12T00:00:00"/>
    <n v="4375"/>
    <x v="2"/>
    <n v="117"/>
    <n v="68.483999999999995"/>
    <x v="0"/>
    <x v="1"/>
    <x v="1"/>
    <x v="2"/>
    <x v="1"/>
    <n v="1"/>
    <n v="0"/>
    <n v="8012.6279999999997"/>
    <x v="0"/>
    <x v="1"/>
    <s v="Regular"/>
  </r>
  <r>
    <d v="2020-05-15T00:00:00"/>
    <n v="4581"/>
    <x v="10"/>
    <n v="188"/>
    <n v="108.97200000000001"/>
    <x v="1"/>
    <x v="2"/>
    <x v="1"/>
    <x v="4"/>
    <x v="1"/>
    <n v="10"/>
    <n v="0"/>
    <n v="20486.736000000001"/>
    <x v="1"/>
    <x v="1"/>
    <s v="Excelente"/>
  </r>
  <r>
    <d v="2020-07-26T00:00:00"/>
    <n v="4936"/>
    <x v="2"/>
    <n v="122"/>
    <n v="82.14"/>
    <x v="0"/>
    <x v="3"/>
    <x v="4"/>
    <x v="0"/>
    <x v="3"/>
    <n v="6"/>
    <n v="0"/>
    <n v="10021.08"/>
    <x v="0"/>
    <x v="1"/>
    <s v="Bueno"/>
  </r>
  <r>
    <d v="2020-10-09T00:00:00"/>
    <n v="4338"/>
    <x v="3"/>
    <n v="163"/>
    <n v="57.648000000000003"/>
    <x v="1"/>
    <x v="4"/>
    <x v="1"/>
    <x v="3"/>
    <x v="3"/>
    <n v="10"/>
    <n v="0"/>
    <n v="9396.6239999999998"/>
    <x v="1"/>
    <x v="1"/>
    <s v="Excelente"/>
  </r>
  <r>
    <d v="2020-10-03T00:00:00"/>
    <n v="4498"/>
    <x v="8"/>
    <n v="151"/>
    <n v="123.084"/>
    <x v="1"/>
    <x v="5"/>
    <x v="1"/>
    <x v="3"/>
    <x v="3"/>
    <n v="4"/>
    <n v="1"/>
    <n v="18585.684000000001"/>
    <x v="1"/>
    <x v="0"/>
    <s v="Regular"/>
  </r>
  <r>
    <d v="2020-01-08T00:00:00"/>
    <n v="4293"/>
    <x v="5"/>
    <n v="66"/>
    <n v="18.552"/>
    <x v="0"/>
    <x v="6"/>
    <x v="1"/>
    <x v="3"/>
    <x v="1"/>
    <n v="8"/>
    <n v="1"/>
    <n v="1224.432"/>
    <x v="0"/>
    <x v="0"/>
    <s v="Bueno"/>
  </r>
  <r>
    <d v="2020-09-22T00:00:00"/>
    <n v="4520"/>
    <x v="8"/>
    <n v="141"/>
    <n v="3.0720000000000001"/>
    <x v="1"/>
    <x v="7"/>
    <x v="1"/>
    <x v="2"/>
    <x v="3"/>
    <n v="4"/>
    <n v="1"/>
    <n v="433.15199999999999"/>
    <x v="1"/>
    <x v="0"/>
    <s v="Regular"/>
  </r>
  <r>
    <d v="2020-02-23T00:00:00"/>
    <n v="4629"/>
    <x v="0"/>
    <n v="77"/>
    <n v="167.48400000000001"/>
    <x v="0"/>
    <x v="8"/>
    <x v="1"/>
    <x v="1"/>
    <x v="1"/>
    <n v="10"/>
    <n v="1"/>
    <n v="12896.268"/>
    <x v="0"/>
    <x v="0"/>
    <s v="Excelente"/>
  </r>
  <r>
    <d v="2020-03-04T00:00:00"/>
    <n v="4874"/>
    <x v="1"/>
    <n v="45"/>
    <n v="37.212000000000003"/>
    <x v="1"/>
    <x v="9"/>
    <x v="7"/>
    <x v="0"/>
    <x v="3"/>
    <n v="6"/>
    <n v="0"/>
    <n v="1674.5400000000002"/>
    <x v="1"/>
    <x v="1"/>
    <s v="Bueno"/>
  </r>
  <r>
    <d v="2020-07-17T00:00:00"/>
    <n v="4775"/>
    <x v="1"/>
    <n v="172"/>
    <n v="99.78"/>
    <x v="1"/>
    <x v="0"/>
    <x v="3"/>
    <x v="3"/>
    <x v="1"/>
    <n v="7"/>
    <n v="0"/>
    <n v="17162.16"/>
    <x v="1"/>
    <x v="1"/>
    <s v="Bueno"/>
  </r>
  <r>
    <d v="2020-11-28T00:00:00"/>
    <n v="4439"/>
    <x v="9"/>
    <n v="102"/>
    <n v="89.963999999999999"/>
    <x v="1"/>
    <x v="1"/>
    <x v="1"/>
    <x v="1"/>
    <x v="1"/>
    <n v="3"/>
    <n v="0"/>
    <n v="9176.3279999999995"/>
    <x v="1"/>
    <x v="1"/>
    <s v="Regular"/>
  </r>
  <r>
    <d v="2020-11-19T00:00:00"/>
    <n v="4875"/>
    <x v="0"/>
    <n v="118"/>
    <n v="79.116"/>
    <x v="1"/>
    <x v="2"/>
    <x v="3"/>
    <x v="3"/>
    <x v="1"/>
    <n v="6"/>
    <n v="0"/>
    <n v="9335.6880000000001"/>
    <x v="1"/>
    <x v="1"/>
    <s v="Bueno"/>
  </r>
  <r>
    <d v="2020-12-20T00:00:00"/>
    <n v="4839"/>
    <x v="0"/>
    <n v="125"/>
    <n v="149.66400000000002"/>
    <x v="1"/>
    <x v="3"/>
    <x v="7"/>
    <x v="3"/>
    <x v="1"/>
    <n v="1"/>
    <n v="1"/>
    <n v="18708.000000000004"/>
    <x v="1"/>
    <x v="0"/>
    <s v="Regular"/>
  </r>
  <r>
    <d v="2020-02-03T00:00:00"/>
    <n v="4556"/>
    <x v="1"/>
    <n v="52"/>
    <n v="186.048"/>
    <x v="0"/>
    <x v="4"/>
    <x v="1"/>
    <x v="4"/>
    <x v="3"/>
    <n v="10"/>
    <n v="0"/>
    <n v="9674.4959999999992"/>
    <x v="0"/>
    <x v="1"/>
    <s v="Excelente"/>
  </r>
  <r>
    <d v="2020-06-18T00:00:00"/>
    <n v="4811"/>
    <x v="1"/>
    <n v="121"/>
    <n v="221.50800000000001"/>
    <x v="1"/>
    <x v="5"/>
    <x v="4"/>
    <x v="3"/>
    <x v="1"/>
    <n v="2"/>
    <n v="1"/>
    <n v="26802.468000000001"/>
    <x v="1"/>
    <x v="0"/>
    <s v="Regular"/>
  </r>
  <r>
    <d v="2020-09-02T00:00:00"/>
    <n v="4491"/>
    <x v="5"/>
    <n v="151"/>
    <n v="24.468"/>
    <x v="0"/>
    <x v="6"/>
    <x v="1"/>
    <x v="4"/>
    <x v="1"/>
    <n v="5"/>
    <n v="0"/>
    <n v="3694.6680000000001"/>
    <x v="0"/>
    <x v="1"/>
    <s v="Bueno"/>
  </r>
  <r>
    <d v="2020-08-14T00:00:00"/>
    <n v="4685"/>
    <x v="3"/>
    <n v="73"/>
    <n v="232.38"/>
    <x v="0"/>
    <x v="7"/>
    <x v="3"/>
    <x v="2"/>
    <x v="1"/>
    <n v="10"/>
    <n v="1"/>
    <n v="16963.739999999998"/>
    <x v="0"/>
    <x v="0"/>
    <s v="Excelente"/>
  </r>
  <r>
    <d v="2020-10-18T00:00:00"/>
    <n v="4752"/>
    <x v="7"/>
    <n v="116"/>
    <n v="32.436"/>
    <x v="0"/>
    <x v="8"/>
    <x v="2"/>
    <x v="0"/>
    <x v="3"/>
    <n v="7"/>
    <n v="0"/>
    <n v="3762.576"/>
    <x v="0"/>
    <x v="1"/>
    <s v="Bueno"/>
  </r>
  <r>
    <d v="2020-12-17T00:00:00"/>
    <n v="4991"/>
    <x v="1"/>
    <n v="118"/>
    <n v="5.7839999999999998"/>
    <x v="0"/>
    <x v="9"/>
    <x v="4"/>
    <x v="3"/>
    <x v="4"/>
    <n v="6"/>
    <n v="0"/>
    <n v="682.51199999999994"/>
    <x v="0"/>
    <x v="1"/>
    <s v="Bueno"/>
  </r>
  <r>
    <d v="2020-04-21T00:00:00"/>
    <n v="4923"/>
    <x v="0"/>
    <n v="22"/>
    <n v="210.876"/>
    <x v="0"/>
    <x v="0"/>
    <x v="5"/>
    <x v="3"/>
    <x v="1"/>
    <n v="6"/>
    <n v="0"/>
    <n v="4639.2719999999999"/>
    <x v="0"/>
    <x v="1"/>
    <s v="Bueno"/>
  </r>
  <r>
    <d v="2020-03-15T00:00:00"/>
    <n v="4977"/>
    <x v="0"/>
    <n v="134"/>
    <n v="50.532000000000004"/>
    <x v="1"/>
    <x v="1"/>
    <x v="2"/>
    <x v="3"/>
    <x v="4"/>
    <n v="6"/>
    <n v="0"/>
    <n v="6771.2880000000005"/>
    <x v="1"/>
    <x v="1"/>
    <s v="Bueno"/>
  </r>
  <r>
    <d v="2020-11-21T00:00:00"/>
    <n v="4674"/>
    <x v="8"/>
    <n v="49"/>
    <n v="195.56399999999999"/>
    <x v="0"/>
    <x v="2"/>
    <x v="1"/>
    <x v="1"/>
    <x v="3"/>
    <n v="10"/>
    <n v="0"/>
    <n v="9582.6360000000004"/>
    <x v="0"/>
    <x v="1"/>
    <s v="Excelente"/>
  </r>
  <r>
    <d v="2020-05-14T00:00:00"/>
    <n v="4628"/>
    <x v="2"/>
    <n v="161"/>
    <n v="146.256"/>
    <x v="1"/>
    <x v="3"/>
    <x v="1"/>
    <x v="3"/>
    <x v="3"/>
    <n v="10"/>
    <n v="1"/>
    <n v="23547.216"/>
    <x v="1"/>
    <x v="0"/>
    <s v="Excelente"/>
  </r>
  <r>
    <d v="2020-10-17T00:00:00"/>
    <n v="4356"/>
    <x v="4"/>
    <n v="114"/>
    <n v="150.92400000000001"/>
    <x v="0"/>
    <x v="4"/>
    <x v="1"/>
    <x v="4"/>
    <x v="3"/>
    <n v="1"/>
    <n v="1"/>
    <n v="17205.335999999999"/>
    <x v="0"/>
    <x v="0"/>
    <s v="Regular"/>
  </r>
  <r>
    <d v="2020-12-12T00:00:00"/>
    <n v="4289"/>
    <x v="8"/>
    <n v="160"/>
    <n v="152.64000000000001"/>
    <x v="1"/>
    <x v="5"/>
    <x v="1"/>
    <x v="1"/>
    <x v="0"/>
    <n v="6"/>
    <n v="0"/>
    <n v="24422.400000000001"/>
    <x v="1"/>
    <x v="1"/>
    <s v="Bueno"/>
  </r>
  <r>
    <d v="2020-09-24T00:00:00"/>
    <n v="4696"/>
    <x v="5"/>
    <n v="155"/>
    <n v="193.92000000000002"/>
    <x v="1"/>
    <x v="6"/>
    <x v="4"/>
    <x v="4"/>
    <x v="3"/>
    <n v="10"/>
    <n v="0"/>
    <n v="30057.600000000002"/>
    <x v="1"/>
    <x v="1"/>
    <s v="Excelente"/>
  </r>
  <r>
    <d v="2020-12-07T00:00:00"/>
    <n v="4863"/>
    <x v="0"/>
    <n v="75"/>
    <n v="20.148"/>
    <x v="0"/>
    <x v="7"/>
    <x v="5"/>
    <x v="3"/>
    <x v="1"/>
    <n v="6"/>
    <n v="1"/>
    <n v="1511.1"/>
    <x v="0"/>
    <x v="0"/>
    <s v="Bueno"/>
  </r>
  <r>
    <d v="2020-04-06T00:00:00"/>
    <n v="4197"/>
    <x v="9"/>
    <n v="90"/>
    <n v="29.94"/>
    <x v="1"/>
    <x v="8"/>
    <x v="1"/>
    <x v="0"/>
    <x v="1"/>
    <n v="8"/>
    <n v="1"/>
    <n v="2694.6"/>
    <x v="1"/>
    <x v="0"/>
    <s v="Bueno"/>
  </r>
  <r>
    <d v="2020-11-05T00:00:00"/>
    <n v="4220"/>
    <x v="7"/>
    <n v="101"/>
    <n v="182.1"/>
    <x v="1"/>
    <x v="9"/>
    <x v="1"/>
    <x v="2"/>
    <x v="3"/>
    <n v="2"/>
    <n v="1"/>
    <n v="18392.099999999999"/>
    <x v="1"/>
    <x v="0"/>
    <s v="Regular"/>
  </r>
  <r>
    <d v="2020-10-15T00:00:00"/>
    <n v="4577"/>
    <x v="6"/>
    <n v="14"/>
    <n v="122.04"/>
    <x v="1"/>
    <x v="0"/>
    <x v="1"/>
    <x v="0"/>
    <x v="1"/>
    <n v="10"/>
    <n v="0"/>
    <n v="1708.5600000000002"/>
    <x v="1"/>
    <x v="1"/>
    <s v="Excelente"/>
  </r>
  <r>
    <d v="2020-05-28T00:00:00"/>
    <n v="4187"/>
    <x v="7"/>
    <n v="6"/>
    <n v="100.008"/>
    <x v="1"/>
    <x v="1"/>
    <x v="1"/>
    <x v="0"/>
    <x v="0"/>
    <n v="5"/>
    <n v="0"/>
    <n v="600.048"/>
    <x v="1"/>
    <x v="1"/>
    <s v="Bueno"/>
  </r>
  <r>
    <d v="2020-04-27T00:00:00"/>
    <n v="4681"/>
    <x v="5"/>
    <n v="20"/>
    <n v="90.623999999999995"/>
    <x v="1"/>
    <x v="2"/>
    <x v="1"/>
    <x v="4"/>
    <x v="1"/>
    <n v="10"/>
    <n v="0"/>
    <n v="1812.48"/>
    <x v="1"/>
    <x v="1"/>
    <s v="Excelente"/>
  </r>
  <r>
    <d v="2020-05-13T00:00:00"/>
    <n v="4562"/>
    <x v="2"/>
    <n v="153"/>
    <n v="190.28399999999999"/>
    <x v="1"/>
    <x v="3"/>
    <x v="1"/>
    <x v="0"/>
    <x v="3"/>
    <n v="10"/>
    <n v="0"/>
    <n v="29113.451999999997"/>
    <x v="1"/>
    <x v="1"/>
    <s v="Excelente"/>
  </r>
  <r>
    <d v="2020-12-06T00:00:00"/>
    <n v="4453"/>
    <x v="0"/>
    <n v="188"/>
    <n v="124.068"/>
    <x v="0"/>
    <x v="4"/>
    <x v="1"/>
    <x v="3"/>
    <x v="1"/>
    <n v="5"/>
    <n v="0"/>
    <n v="23324.784"/>
    <x v="0"/>
    <x v="1"/>
    <s v="Bueno"/>
  </r>
  <r>
    <d v="2020-07-21T00:00:00"/>
    <n v="4858"/>
    <x v="2"/>
    <n v="166"/>
    <n v="79.463999999999999"/>
    <x v="0"/>
    <x v="5"/>
    <x v="5"/>
    <x v="0"/>
    <x v="3"/>
    <n v="1"/>
    <n v="1"/>
    <n v="13191.023999999999"/>
    <x v="0"/>
    <x v="0"/>
    <s v="Regular"/>
  </r>
  <r>
    <d v="2020-12-23T00:00:00"/>
    <n v="4233"/>
    <x v="0"/>
    <n v="108"/>
    <n v="148.38"/>
    <x v="0"/>
    <x v="6"/>
    <x v="1"/>
    <x v="3"/>
    <x v="1"/>
    <n v="3"/>
    <n v="1"/>
    <n v="16025.039999999999"/>
    <x v="0"/>
    <x v="0"/>
    <s v="Regular"/>
  </r>
  <r>
    <d v="2020-01-05T00:00:00"/>
    <n v="5015"/>
    <x v="1"/>
    <n v="59"/>
    <n v="32.363999999999997"/>
    <x v="1"/>
    <x v="7"/>
    <x v="3"/>
    <x v="3"/>
    <x v="4"/>
    <n v="6"/>
    <n v="1"/>
    <n v="1909.4759999999999"/>
    <x v="1"/>
    <x v="0"/>
    <s v="Bueno"/>
  </r>
  <r>
    <d v="2020-07-08T00:00:00"/>
    <n v="4801"/>
    <x v="2"/>
    <n v="175"/>
    <n v="54.300000000000004"/>
    <x v="0"/>
    <x v="8"/>
    <x v="4"/>
    <x v="3"/>
    <x v="1"/>
    <n v="7"/>
    <n v="1"/>
    <n v="9502.5"/>
    <x v="0"/>
    <x v="0"/>
    <s v="Bueno"/>
  </r>
  <r>
    <d v="2020-03-22T00:00:00"/>
    <n v="4717"/>
    <x v="5"/>
    <n v="78"/>
    <n v="179.65200000000002"/>
    <x v="1"/>
    <x v="9"/>
    <x v="2"/>
    <x v="3"/>
    <x v="1"/>
    <n v="10"/>
    <n v="1"/>
    <n v="14012.856000000002"/>
    <x v="1"/>
    <x v="0"/>
    <s v="Excelente"/>
  </r>
  <r>
    <d v="2020-08-03T00:00:00"/>
    <n v="4198"/>
    <x v="7"/>
    <n v="87"/>
    <n v="110.304"/>
    <x v="1"/>
    <x v="0"/>
    <x v="1"/>
    <x v="3"/>
    <x v="5"/>
    <n v="9"/>
    <n v="0"/>
    <n v="9596.4480000000003"/>
    <x v="1"/>
    <x v="1"/>
    <s v="Excelente"/>
  </r>
  <r>
    <d v="2020-02-29T00:00:00"/>
    <n v="4980"/>
    <x v="0"/>
    <n v="126"/>
    <n v="35.783999999999999"/>
    <x v="0"/>
    <x v="1"/>
    <x v="3"/>
    <x v="0"/>
    <x v="0"/>
    <n v="6"/>
    <n v="0"/>
    <n v="4508.7839999999997"/>
    <x v="0"/>
    <x v="1"/>
    <s v="Bueno"/>
  </r>
  <r>
    <d v="2020-01-09T00:00:00"/>
    <n v="4315"/>
    <x v="5"/>
    <n v="207"/>
    <n v="128.76"/>
    <x v="1"/>
    <x v="2"/>
    <x v="1"/>
    <x v="2"/>
    <x v="1"/>
    <n v="2"/>
    <n v="0"/>
    <n v="26653.32"/>
    <x v="1"/>
    <x v="1"/>
    <s v="Regular"/>
  </r>
  <r>
    <d v="2020-10-09T00:00:00"/>
    <n v="4592"/>
    <x v="10"/>
    <n v="34"/>
    <n v="109.14"/>
    <x v="0"/>
    <x v="3"/>
    <x v="1"/>
    <x v="0"/>
    <x v="3"/>
    <n v="10"/>
    <n v="0"/>
    <n v="3710.76"/>
    <x v="0"/>
    <x v="1"/>
    <s v="Excelente"/>
  </r>
  <r>
    <d v="2020-01-10T00:00:00"/>
    <n v="4906"/>
    <x v="2"/>
    <n v="86"/>
    <n v="149.74799999999999"/>
    <x v="0"/>
    <x v="4"/>
    <x v="4"/>
    <x v="0"/>
    <x v="3"/>
    <n v="6"/>
    <n v="0"/>
    <n v="12878.328"/>
    <x v="0"/>
    <x v="1"/>
    <s v="Bueno"/>
  </r>
  <r>
    <d v="2020-04-07T00:00:00"/>
    <n v="4837"/>
    <x v="2"/>
    <n v="25"/>
    <n v="13.152000000000001"/>
    <x v="0"/>
    <x v="5"/>
    <x v="2"/>
    <x v="3"/>
    <x v="1"/>
    <n v="2"/>
    <n v="1"/>
    <n v="328.8"/>
    <x v="0"/>
    <x v="0"/>
    <s v="Regular"/>
  </r>
  <r>
    <d v="2020-07-12T00:00:00"/>
    <n v="4922"/>
    <x v="1"/>
    <n v="196"/>
    <n v="204.38400000000001"/>
    <x v="0"/>
    <x v="6"/>
    <x v="2"/>
    <x v="0"/>
    <x v="3"/>
    <n v="6"/>
    <n v="0"/>
    <n v="40059.264000000003"/>
    <x v="0"/>
    <x v="1"/>
    <s v="Bueno"/>
  </r>
  <r>
    <d v="2020-07-05T00:00:00"/>
    <n v="4870"/>
    <x v="2"/>
    <n v="36"/>
    <n v="55.38"/>
    <x v="0"/>
    <x v="7"/>
    <x v="3"/>
    <x v="0"/>
    <x v="3"/>
    <n v="6"/>
    <n v="0"/>
    <n v="1993.68"/>
    <x v="0"/>
    <x v="1"/>
    <s v="Bueno"/>
  </r>
  <r>
    <d v="2020-09-02T00:00:00"/>
    <n v="4634"/>
    <x v="5"/>
    <n v="49"/>
    <n v="204.708"/>
    <x v="1"/>
    <x v="8"/>
    <x v="1"/>
    <x v="1"/>
    <x v="3"/>
    <n v="10"/>
    <n v="0"/>
    <n v="10030.691999999999"/>
    <x v="1"/>
    <x v="1"/>
    <s v="Excelente"/>
  </r>
  <r>
    <d v="2020-06-03T00:00:00"/>
    <n v="4716"/>
    <x v="7"/>
    <n v="99"/>
    <n v="54.372"/>
    <x v="0"/>
    <x v="9"/>
    <x v="4"/>
    <x v="0"/>
    <x v="3"/>
    <n v="10"/>
    <n v="0"/>
    <n v="5382.8280000000004"/>
    <x v="0"/>
    <x v="1"/>
    <s v="Excelente"/>
  </r>
  <r>
    <d v="2020-06-13T00:00:00"/>
    <n v="4269"/>
    <x v="6"/>
    <n v="183"/>
    <n v="196.452"/>
    <x v="1"/>
    <x v="0"/>
    <x v="1"/>
    <x v="1"/>
    <x v="1"/>
    <n v="2"/>
    <n v="0"/>
    <n v="35950.716"/>
    <x v="1"/>
    <x v="1"/>
    <s v="Regular"/>
  </r>
  <r>
    <d v="2020-02-16T00:00:00"/>
    <n v="5004"/>
    <x v="0"/>
    <n v="116"/>
    <n v="141.14400000000001"/>
    <x v="1"/>
    <x v="1"/>
    <x v="7"/>
    <x v="0"/>
    <x v="0"/>
    <n v="6"/>
    <n v="0"/>
    <n v="16372.704000000002"/>
    <x v="1"/>
    <x v="1"/>
    <s v="Bueno"/>
  </r>
  <r>
    <d v="2020-03-12T00:00:00"/>
    <n v="4954"/>
    <x v="2"/>
    <n v="94"/>
    <n v="3.6"/>
    <x v="1"/>
    <x v="2"/>
    <x v="7"/>
    <x v="0"/>
    <x v="3"/>
    <n v="6"/>
    <n v="0"/>
    <n v="338.40000000000003"/>
    <x v="1"/>
    <x v="1"/>
    <s v="Bueno"/>
  </r>
  <r>
    <d v="2020-07-03T00:00:00"/>
    <n v="4796"/>
    <x v="1"/>
    <n v="80"/>
    <n v="174.31200000000001"/>
    <x v="1"/>
    <x v="3"/>
    <x v="4"/>
    <x v="0"/>
    <x v="3"/>
    <n v="7"/>
    <n v="1"/>
    <n v="13944.960000000001"/>
    <x v="1"/>
    <x v="0"/>
    <s v="Bueno"/>
  </r>
  <r>
    <d v="2020-05-01T00:00:00"/>
    <n v="4799"/>
    <x v="1"/>
    <n v="184"/>
    <n v="156.26400000000001"/>
    <x v="1"/>
    <x v="4"/>
    <x v="7"/>
    <x v="3"/>
    <x v="1"/>
    <n v="7"/>
    <n v="1"/>
    <n v="28752.576000000001"/>
    <x v="1"/>
    <x v="0"/>
    <s v="Bueno"/>
  </r>
  <r>
    <d v="2020-11-23T00:00:00"/>
    <n v="4240"/>
    <x v="10"/>
    <n v="180"/>
    <n v="177.49199999999999"/>
    <x v="0"/>
    <x v="5"/>
    <x v="1"/>
    <x v="2"/>
    <x v="5"/>
    <n v="8"/>
    <n v="0"/>
    <n v="31948.559999999998"/>
    <x v="0"/>
    <x v="1"/>
    <s v="Bueno"/>
  </r>
  <r>
    <d v="2020-07-06T00:00:00"/>
    <n v="4937"/>
    <x v="1"/>
    <n v="75"/>
    <n v="102.96000000000001"/>
    <x v="1"/>
    <x v="6"/>
    <x v="2"/>
    <x v="3"/>
    <x v="1"/>
    <n v="6"/>
    <n v="0"/>
    <n v="7722.0000000000009"/>
    <x v="1"/>
    <x v="1"/>
    <s v="Bueno"/>
  </r>
  <r>
    <d v="2020-04-08T00:00:00"/>
    <n v="4981"/>
    <x v="2"/>
    <n v="150"/>
    <n v="198.97200000000001"/>
    <x v="1"/>
    <x v="7"/>
    <x v="4"/>
    <x v="3"/>
    <x v="4"/>
    <n v="6"/>
    <n v="0"/>
    <n v="29845.800000000003"/>
    <x v="1"/>
    <x v="1"/>
    <s v="Bueno"/>
  </r>
  <r>
    <d v="2020-10-22T00:00:00"/>
    <n v="4790"/>
    <x v="1"/>
    <n v="79"/>
    <n v="146.892"/>
    <x v="1"/>
    <x v="8"/>
    <x v="3"/>
    <x v="0"/>
    <x v="3"/>
    <n v="7"/>
    <n v="0"/>
    <n v="11604.467999999999"/>
    <x v="1"/>
    <x v="1"/>
    <s v="Bueno"/>
  </r>
  <r>
    <d v="2020-10-29T00:00:00"/>
    <n v="4181"/>
    <x v="6"/>
    <n v="44"/>
    <n v="37.764000000000003"/>
    <x v="0"/>
    <x v="9"/>
    <x v="1"/>
    <x v="4"/>
    <x v="0"/>
    <n v="8"/>
    <n v="1"/>
    <n v="1661.6160000000002"/>
    <x v="0"/>
    <x v="0"/>
    <s v="Bueno"/>
  </r>
  <r>
    <d v="2020-08-29T00:00:00"/>
    <n v="4259"/>
    <x v="1"/>
    <n v="97"/>
    <n v="89.328000000000003"/>
    <x v="0"/>
    <x v="0"/>
    <x v="1"/>
    <x v="1"/>
    <x v="0"/>
    <n v="8"/>
    <n v="0"/>
    <n v="8664.8160000000007"/>
    <x v="0"/>
    <x v="1"/>
    <s v="Bueno"/>
  </r>
  <r>
    <d v="2020-03-03T00:00:00"/>
    <n v="5047"/>
    <x v="2"/>
    <n v="94"/>
    <n v="146.43600000000001"/>
    <x v="1"/>
    <x v="1"/>
    <x v="6"/>
    <x v="3"/>
    <x v="4"/>
    <n v="7"/>
    <n v="1"/>
    <n v="13764.984"/>
    <x v="1"/>
    <x v="0"/>
    <s v="Bueno"/>
  </r>
  <r>
    <d v="2020-07-15T00:00:00"/>
    <n v="4377"/>
    <x v="8"/>
    <n v="66"/>
    <n v="201.792"/>
    <x v="1"/>
    <x v="2"/>
    <x v="1"/>
    <x v="0"/>
    <x v="1"/>
    <n v="8"/>
    <n v="1"/>
    <n v="13318.272000000001"/>
    <x v="1"/>
    <x v="0"/>
    <s v="Bueno"/>
  </r>
  <r>
    <d v="2020-09-13T00:00:00"/>
    <n v="4537"/>
    <x v="10"/>
    <n v="61"/>
    <n v="21.876000000000001"/>
    <x v="0"/>
    <x v="3"/>
    <x v="1"/>
    <x v="0"/>
    <x v="1"/>
    <n v="6"/>
    <n v="0"/>
    <n v="1334.4360000000001"/>
    <x v="0"/>
    <x v="1"/>
    <s v="Bueno"/>
  </r>
  <r>
    <d v="2020-01-13T00:00:00"/>
    <n v="4624"/>
    <x v="3"/>
    <n v="70"/>
    <n v="52.764000000000003"/>
    <x v="1"/>
    <x v="4"/>
    <x v="1"/>
    <x v="1"/>
    <x v="3"/>
    <n v="10"/>
    <n v="0"/>
    <n v="3693.48"/>
    <x v="1"/>
    <x v="1"/>
    <s v="Excelente"/>
  </r>
  <r>
    <d v="2020-04-05T00:00:00"/>
    <n v="4951"/>
    <x v="2"/>
    <n v="190"/>
    <n v="114.94800000000001"/>
    <x v="1"/>
    <x v="5"/>
    <x v="4"/>
    <x v="3"/>
    <x v="1"/>
    <n v="6"/>
    <n v="0"/>
    <n v="21840.120000000003"/>
    <x v="1"/>
    <x v="1"/>
    <s v="Bueno"/>
  </r>
  <r>
    <d v="2020-08-07T00:00:00"/>
    <n v="4774"/>
    <x v="2"/>
    <n v="181"/>
    <n v="48.492000000000004"/>
    <x v="0"/>
    <x v="6"/>
    <x v="7"/>
    <x v="0"/>
    <x v="3"/>
    <n v="7"/>
    <n v="0"/>
    <n v="8777.0520000000015"/>
    <x v="0"/>
    <x v="1"/>
    <s v="Bueno"/>
  </r>
  <r>
    <d v="2020-06-09T00:00:00"/>
    <n v="4411"/>
    <x v="4"/>
    <n v="162"/>
    <n v="30.864000000000001"/>
    <x v="1"/>
    <x v="7"/>
    <x v="1"/>
    <x v="4"/>
    <x v="1"/>
    <n v="2"/>
    <n v="1"/>
    <n v="4999.9679999999998"/>
    <x v="1"/>
    <x v="0"/>
    <s v="Regular"/>
  </r>
  <r>
    <d v="2020-11-09T00:00:00"/>
    <n v="4953"/>
    <x v="0"/>
    <n v="46"/>
    <n v="20.231999999999999"/>
    <x v="0"/>
    <x v="8"/>
    <x v="5"/>
    <x v="3"/>
    <x v="1"/>
    <n v="6"/>
    <n v="0"/>
    <n v="930.67200000000003"/>
    <x v="0"/>
    <x v="1"/>
    <s v="Bueno"/>
  </r>
  <r>
    <d v="2020-03-28T00:00:00"/>
    <n v="4431"/>
    <x v="0"/>
    <n v="108"/>
    <n v="162.30000000000001"/>
    <x v="0"/>
    <x v="9"/>
    <x v="1"/>
    <x v="4"/>
    <x v="1"/>
    <n v="4"/>
    <n v="1"/>
    <n v="17528.400000000001"/>
    <x v="0"/>
    <x v="0"/>
    <s v="Regular"/>
  </r>
  <r>
    <d v="2020-06-17T00:00:00"/>
    <n v="4394"/>
    <x v="10"/>
    <n v="21"/>
    <n v="43.68"/>
    <x v="0"/>
    <x v="0"/>
    <x v="1"/>
    <x v="1"/>
    <x v="3"/>
    <n v="6"/>
    <n v="1"/>
    <n v="917.28"/>
    <x v="0"/>
    <x v="0"/>
    <s v="Bueno"/>
  </r>
  <r>
    <d v="2020-05-02T00:00:00"/>
    <n v="4765"/>
    <x v="5"/>
    <n v="149"/>
    <n v="151.06800000000001"/>
    <x v="1"/>
    <x v="1"/>
    <x v="3"/>
    <x v="3"/>
    <x v="1"/>
    <n v="7"/>
    <n v="1"/>
    <n v="22509.132000000001"/>
    <x v="1"/>
    <x v="0"/>
    <s v="Bueno"/>
  </r>
  <r>
    <d v="2020-08-21T00:00:00"/>
    <n v="4447"/>
    <x v="5"/>
    <n v="184"/>
    <n v="73.236000000000004"/>
    <x v="0"/>
    <x v="2"/>
    <x v="1"/>
    <x v="0"/>
    <x v="1"/>
    <n v="5"/>
    <n v="0"/>
    <n v="13475.424000000001"/>
    <x v="0"/>
    <x v="1"/>
    <s v="Bueno"/>
  </r>
  <r>
    <d v="2020-10-28T00:00:00"/>
    <n v="4335"/>
    <x v="6"/>
    <n v="153"/>
    <n v="88.176000000000002"/>
    <x v="0"/>
    <x v="3"/>
    <x v="1"/>
    <x v="2"/>
    <x v="1"/>
    <n v="4"/>
    <n v="0"/>
    <n v="13490.928"/>
    <x v="0"/>
    <x v="1"/>
    <s v="Regular"/>
  </r>
  <r>
    <d v="2020-06-22T00:00:00"/>
    <n v="4895"/>
    <x v="1"/>
    <n v="140"/>
    <n v="47.244"/>
    <x v="0"/>
    <x v="4"/>
    <x v="3"/>
    <x v="3"/>
    <x v="1"/>
    <n v="6"/>
    <n v="0"/>
    <n v="6614.16"/>
    <x v="0"/>
    <x v="1"/>
    <s v="Bueno"/>
  </r>
  <r>
    <d v="2020-07-18T00:00:00"/>
    <n v="4655"/>
    <x v="1"/>
    <n v="47"/>
    <n v="53.015999999999998"/>
    <x v="1"/>
    <x v="5"/>
    <x v="1"/>
    <x v="2"/>
    <x v="1"/>
    <n v="10"/>
    <n v="0"/>
    <n v="2491.752"/>
    <x v="1"/>
    <x v="1"/>
    <s v="Excelente"/>
  </r>
  <r>
    <d v="2020-11-25T00:00:00"/>
    <n v="4557"/>
    <x v="5"/>
    <n v="46"/>
    <n v="170.60400000000001"/>
    <x v="0"/>
    <x v="6"/>
    <x v="1"/>
    <x v="0"/>
    <x v="1"/>
    <n v="10"/>
    <n v="0"/>
    <n v="7847.7840000000006"/>
    <x v="0"/>
    <x v="1"/>
    <s v="Excelente"/>
  </r>
  <r>
    <d v="2020-01-02T00:00:00"/>
    <n v="4963"/>
    <x v="2"/>
    <n v="129"/>
    <n v="145.06800000000001"/>
    <x v="0"/>
    <x v="7"/>
    <x v="5"/>
    <x v="3"/>
    <x v="4"/>
    <n v="6"/>
    <n v="0"/>
    <n v="18713.772000000001"/>
    <x v="0"/>
    <x v="1"/>
    <s v="Bueno"/>
  </r>
  <r>
    <d v="2020-06-23T00:00:00"/>
    <n v="4871"/>
    <x v="1"/>
    <n v="42"/>
    <n v="52.572000000000003"/>
    <x v="1"/>
    <x v="8"/>
    <x v="4"/>
    <x v="3"/>
    <x v="1"/>
    <n v="6"/>
    <n v="0"/>
    <n v="2208.0240000000003"/>
    <x v="1"/>
    <x v="1"/>
    <s v="Bueno"/>
  </r>
  <r>
    <d v="2020-05-17T00:00:00"/>
    <n v="4244"/>
    <x v="0"/>
    <n v="31"/>
    <n v="173.22"/>
    <x v="0"/>
    <x v="9"/>
    <x v="1"/>
    <x v="1"/>
    <x v="3"/>
    <n v="6"/>
    <n v="1"/>
    <n v="5369.82"/>
    <x v="0"/>
    <x v="0"/>
    <s v="Bueno"/>
  </r>
  <r>
    <d v="2020-06-10T00:00:00"/>
    <n v="4419"/>
    <x v="2"/>
    <n v="64"/>
    <n v="207.44400000000002"/>
    <x v="1"/>
    <x v="0"/>
    <x v="1"/>
    <x v="1"/>
    <x v="1"/>
    <n v="5"/>
    <n v="1"/>
    <n v="13276.416000000001"/>
    <x v="1"/>
    <x v="0"/>
    <s v="Bueno"/>
  </r>
  <r>
    <d v="2020-02-02T00:00:00"/>
    <n v="4606"/>
    <x v="2"/>
    <n v="20"/>
    <n v="197.58"/>
    <x v="1"/>
    <x v="1"/>
    <x v="1"/>
    <x v="4"/>
    <x v="3"/>
    <n v="10"/>
    <n v="0"/>
    <n v="3951.6000000000004"/>
    <x v="1"/>
    <x v="1"/>
    <s v="Excelente"/>
  </r>
  <r>
    <d v="2020-10-06T00:00:00"/>
    <n v="4975"/>
    <x v="2"/>
    <n v="191"/>
    <n v="115.524"/>
    <x v="0"/>
    <x v="2"/>
    <x v="3"/>
    <x v="3"/>
    <x v="4"/>
    <n v="6"/>
    <n v="0"/>
    <n v="22065.083999999999"/>
    <x v="0"/>
    <x v="1"/>
    <s v="Bueno"/>
  </r>
  <r>
    <d v="2020-11-12T00:00:00"/>
    <n v="5033"/>
    <x v="1"/>
    <n v="79"/>
    <n v="79.92"/>
    <x v="1"/>
    <x v="3"/>
    <x v="6"/>
    <x v="3"/>
    <x v="4"/>
    <n v="6"/>
    <n v="1"/>
    <n v="6313.68"/>
    <x v="1"/>
    <x v="0"/>
    <s v="Bueno"/>
  </r>
  <r>
    <d v="2020-07-04T00:00:00"/>
    <n v="4358"/>
    <x v="1"/>
    <n v="3"/>
    <n v="215.01599999999999"/>
    <x v="0"/>
    <x v="4"/>
    <x v="1"/>
    <x v="3"/>
    <x v="3"/>
    <n v="6"/>
    <n v="0"/>
    <n v="645.048"/>
    <x v="0"/>
    <x v="1"/>
    <s v="Bueno"/>
  </r>
  <r>
    <d v="2020-08-29T00:00:00"/>
    <n v="4788"/>
    <x v="0"/>
    <n v="98"/>
    <n v="24.996000000000002"/>
    <x v="1"/>
    <x v="5"/>
    <x v="5"/>
    <x v="0"/>
    <x v="3"/>
    <n v="7"/>
    <n v="1"/>
    <n v="2449.6080000000002"/>
    <x v="1"/>
    <x v="0"/>
    <s v="Bueno"/>
  </r>
  <r>
    <d v="2020-08-25T00:00:00"/>
    <n v="4698"/>
    <x v="7"/>
    <n v="130"/>
    <n v="31.128"/>
    <x v="1"/>
    <x v="6"/>
    <x v="5"/>
    <x v="3"/>
    <x v="3"/>
    <n v="10"/>
    <n v="1"/>
    <n v="4046.64"/>
    <x v="1"/>
    <x v="0"/>
    <s v="Excelente"/>
  </r>
  <r>
    <d v="2020-11-18T00:00:00"/>
    <n v="4266"/>
    <x v="0"/>
    <n v="224"/>
    <n v="222.88800000000001"/>
    <x v="1"/>
    <x v="7"/>
    <x v="1"/>
    <x v="4"/>
    <x v="4"/>
    <n v="5"/>
    <n v="0"/>
    <n v="49926.912000000004"/>
    <x v="1"/>
    <x v="1"/>
    <s v="Bueno"/>
  </r>
  <r>
    <d v="2020-11-10T00:00:00"/>
    <n v="4792"/>
    <x v="2"/>
    <n v="217"/>
    <n v="19.356000000000002"/>
    <x v="0"/>
    <x v="8"/>
    <x v="2"/>
    <x v="0"/>
    <x v="3"/>
    <n v="7"/>
    <n v="0"/>
    <n v="4200.2520000000004"/>
    <x v="0"/>
    <x v="1"/>
    <s v="Bueno"/>
  </r>
  <r>
    <d v="2020-08-13T00:00:00"/>
    <n v="4503"/>
    <x v="3"/>
    <n v="139"/>
    <n v="124.464"/>
    <x v="1"/>
    <x v="9"/>
    <x v="1"/>
    <x v="3"/>
    <x v="1"/>
    <n v="4"/>
    <n v="1"/>
    <n v="17300.495999999999"/>
    <x v="1"/>
    <x v="0"/>
    <s v="Regular"/>
  </r>
  <r>
    <d v="2020-11-25T00:00:00"/>
    <n v="4201"/>
    <x v="8"/>
    <n v="121"/>
    <n v="219.40800000000002"/>
    <x v="1"/>
    <x v="0"/>
    <x v="1"/>
    <x v="4"/>
    <x v="2"/>
    <n v="5"/>
    <n v="1"/>
    <n v="26548.368000000002"/>
    <x v="1"/>
    <x v="0"/>
    <s v="Bueno"/>
  </r>
  <r>
    <d v="2020-11-29T00:00:00"/>
    <n v="4679"/>
    <x v="3"/>
    <n v="203"/>
    <n v="230.43600000000001"/>
    <x v="1"/>
    <x v="1"/>
    <x v="1"/>
    <x v="1"/>
    <x v="1"/>
    <n v="10"/>
    <n v="1"/>
    <n v="46778.508000000002"/>
    <x v="1"/>
    <x v="0"/>
    <s v="Excelente"/>
  </r>
  <r>
    <d v="2020-10-01T00:00:00"/>
    <n v="4998"/>
    <x v="0"/>
    <n v="200"/>
    <n v="135.38400000000001"/>
    <x v="0"/>
    <x v="2"/>
    <x v="5"/>
    <x v="0"/>
    <x v="0"/>
    <n v="6"/>
    <n v="0"/>
    <n v="27076.800000000003"/>
    <x v="0"/>
    <x v="1"/>
    <s v="Bueno"/>
  </r>
  <r>
    <d v="2020-11-24T00:00:00"/>
    <n v="4855"/>
    <x v="2"/>
    <n v="151"/>
    <n v="152.61600000000001"/>
    <x v="1"/>
    <x v="3"/>
    <x v="3"/>
    <x v="3"/>
    <x v="1"/>
    <n v="1"/>
    <n v="1"/>
    <n v="23045.016000000003"/>
    <x v="1"/>
    <x v="0"/>
    <s v="Regular"/>
  </r>
  <r>
    <d v="2020-02-08T00:00:00"/>
    <n v="5029"/>
    <x v="2"/>
    <n v="181"/>
    <n v="97.02"/>
    <x v="1"/>
    <x v="4"/>
    <x v="7"/>
    <x v="3"/>
    <x v="4"/>
    <n v="6"/>
    <n v="1"/>
    <n v="17560.62"/>
    <x v="1"/>
    <x v="0"/>
    <s v="Bueno"/>
  </r>
  <r>
    <d v="2020-06-23T00:00:00"/>
    <n v="4759"/>
    <x v="5"/>
    <n v="72"/>
    <n v="1.2"/>
    <x v="0"/>
    <x v="5"/>
    <x v="7"/>
    <x v="3"/>
    <x v="1"/>
    <n v="7"/>
    <n v="0"/>
    <n v="86.399999999999991"/>
    <x v="0"/>
    <x v="1"/>
    <s v="Bueno"/>
  </r>
  <r>
    <d v="2020-09-10T00:00:00"/>
    <n v="4602"/>
    <x v="3"/>
    <n v="142"/>
    <n v="56.664000000000001"/>
    <x v="1"/>
    <x v="6"/>
    <x v="1"/>
    <x v="0"/>
    <x v="3"/>
    <n v="10"/>
    <n v="1"/>
    <n v="8046.2880000000005"/>
    <x v="1"/>
    <x v="0"/>
    <s v="Excelente"/>
  </r>
  <r>
    <d v="2020-06-15T00:00:00"/>
    <n v="4663"/>
    <x v="8"/>
    <n v="224"/>
    <n v="40.524000000000001"/>
    <x v="0"/>
    <x v="7"/>
    <x v="1"/>
    <x v="3"/>
    <x v="1"/>
    <n v="10"/>
    <n v="1"/>
    <n v="9077.3760000000002"/>
    <x v="0"/>
    <x v="0"/>
    <s v="Excelente"/>
  </r>
  <r>
    <d v="2020-10-22T00:00:00"/>
    <n v="4270"/>
    <x v="1"/>
    <n v="80"/>
    <n v="116.48400000000001"/>
    <x v="0"/>
    <x v="8"/>
    <x v="1"/>
    <x v="2"/>
    <x v="5"/>
    <n v="5"/>
    <n v="0"/>
    <n v="9318.7200000000012"/>
    <x v="0"/>
    <x v="1"/>
    <s v="Bueno"/>
  </r>
  <r>
    <d v="2020-08-28T00:00:00"/>
    <n v="4260"/>
    <x v="5"/>
    <n v="79"/>
    <n v="103.29600000000001"/>
    <x v="0"/>
    <x v="9"/>
    <x v="1"/>
    <x v="2"/>
    <x v="4"/>
    <n v="4"/>
    <n v="0"/>
    <n v="8160.3840000000009"/>
    <x v="0"/>
    <x v="1"/>
    <s v="Regular"/>
  </r>
  <r>
    <d v="2020-07-05T00:00:00"/>
    <n v="4242"/>
    <x v="7"/>
    <n v="142"/>
    <n v="13.308"/>
    <x v="0"/>
    <x v="0"/>
    <x v="1"/>
    <x v="0"/>
    <x v="4"/>
    <n v="3"/>
    <n v="1"/>
    <n v="1889.7359999999999"/>
    <x v="0"/>
    <x v="0"/>
    <s v="Regular"/>
  </r>
  <r>
    <d v="2020-04-25T00:00:00"/>
    <n v="4639"/>
    <x v="2"/>
    <n v="178"/>
    <n v="22.236000000000001"/>
    <x v="1"/>
    <x v="1"/>
    <x v="1"/>
    <x v="1"/>
    <x v="1"/>
    <n v="10"/>
    <n v="1"/>
    <n v="3958.0080000000003"/>
    <x v="1"/>
    <x v="0"/>
    <s v="Excelente"/>
  </r>
  <r>
    <d v="2020-02-26T00:00:00"/>
    <n v="4515"/>
    <x v="10"/>
    <n v="87"/>
    <n v="194.976"/>
    <x v="0"/>
    <x v="2"/>
    <x v="1"/>
    <x v="2"/>
    <x v="1"/>
    <n v="4"/>
    <n v="0"/>
    <n v="16962.912"/>
    <x v="0"/>
    <x v="1"/>
    <s v="Regular"/>
  </r>
  <r>
    <d v="2020-04-21T00:00:00"/>
    <n v="4538"/>
    <x v="9"/>
    <n v="50"/>
    <n v="37.655999999999999"/>
    <x v="0"/>
    <x v="3"/>
    <x v="1"/>
    <x v="3"/>
    <x v="3"/>
    <n v="4"/>
    <n v="1"/>
    <n v="1882.8"/>
    <x v="0"/>
    <x v="0"/>
    <s v="Regular"/>
  </r>
  <r>
    <d v="2020-08-28T00:00:00"/>
    <n v="4173"/>
    <x v="3"/>
    <n v="79"/>
    <n v="108.88800000000001"/>
    <x v="0"/>
    <x v="4"/>
    <x v="1"/>
    <x v="3"/>
    <x v="1"/>
    <n v="1"/>
    <n v="0"/>
    <n v="8602.152"/>
    <x v="0"/>
    <x v="1"/>
    <s v="Regular"/>
  </r>
  <r>
    <d v="2020-04-15T00:00:00"/>
    <n v="4363"/>
    <x v="7"/>
    <n v="3"/>
    <n v="137.02799999999999"/>
    <x v="1"/>
    <x v="5"/>
    <x v="1"/>
    <x v="3"/>
    <x v="1"/>
    <n v="7"/>
    <n v="0"/>
    <n v="411.08399999999995"/>
    <x v="1"/>
    <x v="1"/>
    <s v="Bueno"/>
  </r>
  <r>
    <d v="2020-08-11T00:00:00"/>
    <n v="4744"/>
    <x v="5"/>
    <n v="56"/>
    <n v="22.404"/>
    <x v="1"/>
    <x v="6"/>
    <x v="7"/>
    <x v="0"/>
    <x v="3"/>
    <n v="7"/>
    <n v="1"/>
    <n v="1254.624"/>
    <x v="1"/>
    <x v="0"/>
    <s v="Bueno"/>
  </r>
  <r>
    <d v="2020-04-21T00:00:00"/>
    <n v="4766"/>
    <x v="1"/>
    <n v="191"/>
    <n v="227.4"/>
    <x v="0"/>
    <x v="7"/>
    <x v="4"/>
    <x v="0"/>
    <x v="3"/>
    <n v="7"/>
    <n v="1"/>
    <n v="43433.4"/>
    <x v="0"/>
    <x v="0"/>
    <s v="Bueno"/>
  </r>
  <r>
    <d v="2020-09-14T00:00:00"/>
    <n v="4410"/>
    <x v="8"/>
    <n v="195"/>
    <n v="20.411999999999999"/>
    <x v="0"/>
    <x v="8"/>
    <x v="1"/>
    <x v="2"/>
    <x v="3"/>
    <n v="7"/>
    <n v="0"/>
    <n v="3980.3399999999997"/>
    <x v="0"/>
    <x v="1"/>
    <s v="Bueno"/>
  </r>
  <r>
    <d v="2020-08-26T00:00:00"/>
    <n v="4217"/>
    <x v="3"/>
    <n v="177"/>
    <n v="33.335999999999999"/>
    <x v="0"/>
    <x v="9"/>
    <x v="1"/>
    <x v="0"/>
    <x v="0"/>
    <n v="6"/>
    <n v="1"/>
    <n v="5900.4719999999998"/>
    <x v="0"/>
    <x v="0"/>
    <s v="Bueno"/>
  </r>
  <r>
    <d v="2020-01-19T00:00:00"/>
    <n v="4182"/>
    <x v="1"/>
    <n v="70"/>
    <n v="46.524000000000001"/>
    <x v="1"/>
    <x v="0"/>
    <x v="1"/>
    <x v="0"/>
    <x v="4"/>
    <n v="6"/>
    <n v="0"/>
    <n v="3256.6800000000003"/>
    <x v="1"/>
    <x v="1"/>
    <s v="Bueno"/>
  </r>
  <r>
    <d v="2020-09-24T00:00:00"/>
    <n v="4255"/>
    <x v="0"/>
    <n v="56"/>
    <n v="12.612"/>
    <x v="1"/>
    <x v="1"/>
    <x v="1"/>
    <x v="2"/>
    <x v="2"/>
    <n v="8"/>
    <n v="0"/>
    <n v="706.27200000000005"/>
    <x v="1"/>
    <x v="1"/>
    <s v="Bueno"/>
  </r>
  <r>
    <d v="2020-10-03T00:00:00"/>
    <n v="4877"/>
    <x v="1"/>
    <n v="194"/>
    <n v="43.308"/>
    <x v="0"/>
    <x v="2"/>
    <x v="2"/>
    <x v="3"/>
    <x v="1"/>
    <n v="6"/>
    <n v="0"/>
    <n v="8401.7520000000004"/>
    <x v="0"/>
    <x v="1"/>
    <s v="Bueno"/>
  </r>
  <r>
    <d v="2020-06-18T00:00:00"/>
    <n v="4570"/>
    <x v="10"/>
    <n v="181"/>
    <n v="124.572"/>
    <x v="1"/>
    <x v="3"/>
    <x v="1"/>
    <x v="2"/>
    <x v="3"/>
    <n v="10"/>
    <n v="0"/>
    <n v="22547.531999999999"/>
    <x v="1"/>
    <x v="1"/>
    <s v="Excelente"/>
  </r>
  <r>
    <d v="2020-08-29T00:00:00"/>
    <n v="4898"/>
    <x v="1"/>
    <n v="129"/>
    <n v="204.93600000000001"/>
    <x v="0"/>
    <x v="4"/>
    <x v="5"/>
    <x v="0"/>
    <x v="3"/>
    <n v="6"/>
    <n v="0"/>
    <n v="26436.744000000002"/>
    <x v="0"/>
    <x v="1"/>
    <s v="Bueno"/>
  </r>
  <r>
    <d v="2020-08-19T00:00:00"/>
    <n v="4178"/>
    <x v="0"/>
    <n v="120"/>
    <n v="82.751999999999995"/>
    <x v="0"/>
    <x v="5"/>
    <x v="1"/>
    <x v="3"/>
    <x v="3"/>
    <n v="4"/>
    <n v="1"/>
    <n v="9930.24"/>
    <x v="0"/>
    <x v="0"/>
    <s v="Regular"/>
  </r>
  <r>
    <d v="2020-06-18T00:00:00"/>
    <n v="4298"/>
    <x v="2"/>
    <n v="211"/>
    <n v="204.45600000000002"/>
    <x v="0"/>
    <x v="6"/>
    <x v="1"/>
    <x v="3"/>
    <x v="3"/>
    <n v="9"/>
    <n v="0"/>
    <n v="43140.216"/>
    <x v="0"/>
    <x v="1"/>
    <s v="Excelente"/>
  </r>
  <r>
    <d v="2020-01-10T00:00:00"/>
    <n v="4778"/>
    <x v="1"/>
    <n v="103"/>
    <n v="45.731999999999999"/>
    <x v="0"/>
    <x v="7"/>
    <x v="5"/>
    <x v="0"/>
    <x v="3"/>
    <n v="7"/>
    <n v="0"/>
    <n v="4710.3959999999997"/>
    <x v="0"/>
    <x v="1"/>
    <s v="Bueno"/>
  </r>
  <r>
    <d v="2020-01-01T00:00:00"/>
    <n v="4793"/>
    <x v="1"/>
    <n v="26"/>
    <n v="13.668000000000001"/>
    <x v="0"/>
    <x v="8"/>
    <x v="5"/>
    <x v="3"/>
    <x v="1"/>
    <n v="7"/>
    <n v="1"/>
    <n v="355.36800000000005"/>
    <x v="0"/>
    <x v="0"/>
    <s v="Bueno"/>
  </r>
  <r>
    <d v="2020-06-01T00:00:00"/>
    <n v="4474"/>
    <x v="2"/>
    <n v="176"/>
    <n v="57.672000000000004"/>
    <x v="0"/>
    <x v="9"/>
    <x v="1"/>
    <x v="1"/>
    <x v="3"/>
    <n v="7"/>
    <n v="0"/>
    <n v="10150.272000000001"/>
    <x v="0"/>
    <x v="1"/>
    <s v="Bueno"/>
  </r>
  <r>
    <d v="2020-02-24T00:00:00"/>
    <n v="4916"/>
    <x v="1"/>
    <n v="96"/>
    <n v="59.988"/>
    <x v="0"/>
    <x v="0"/>
    <x v="4"/>
    <x v="0"/>
    <x v="3"/>
    <n v="6"/>
    <n v="0"/>
    <n v="5758.848"/>
    <x v="0"/>
    <x v="1"/>
    <s v="Bueno"/>
  </r>
  <r>
    <d v="2020-02-27T00:00:00"/>
    <n v="5036"/>
    <x v="1"/>
    <n v="200"/>
    <n v="180.31200000000001"/>
    <x v="1"/>
    <x v="1"/>
    <x v="0"/>
    <x v="0"/>
    <x v="0"/>
    <n v="7"/>
    <n v="1"/>
    <n v="36062.400000000001"/>
    <x v="1"/>
    <x v="0"/>
    <s v="Bueno"/>
  </r>
  <r>
    <d v="2020-03-26T00:00:00"/>
    <n v="4511"/>
    <x v="6"/>
    <n v="31"/>
    <n v="9.8279999999999994"/>
    <x v="1"/>
    <x v="2"/>
    <x v="1"/>
    <x v="4"/>
    <x v="1"/>
    <n v="2"/>
    <n v="0"/>
    <n v="304.66800000000001"/>
    <x v="1"/>
    <x v="1"/>
    <s v="Regular"/>
  </r>
  <r>
    <d v="2020-03-12T00:00:00"/>
    <n v="4647"/>
    <x v="10"/>
    <n v="22"/>
    <n v="112.152"/>
    <x v="1"/>
    <x v="3"/>
    <x v="1"/>
    <x v="0"/>
    <x v="1"/>
    <n v="10"/>
    <n v="1"/>
    <n v="2467.3440000000001"/>
    <x v="1"/>
    <x v="0"/>
    <s v="Excelente"/>
  </r>
  <r>
    <d v="2020-08-26T00:00:00"/>
    <n v="4514"/>
    <x v="3"/>
    <n v="120"/>
    <n v="29.411999999999999"/>
    <x v="0"/>
    <x v="4"/>
    <x v="1"/>
    <x v="1"/>
    <x v="3"/>
    <n v="8"/>
    <n v="0"/>
    <n v="3529.44"/>
    <x v="0"/>
    <x v="1"/>
    <s v="Bueno"/>
  </r>
  <r>
    <d v="2020-01-25T00:00:00"/>
    <n v="4526"/>
    <x v="10"/>
    <n v="115"/>
    <n v="125.16"/>
    <x v="0"/>
    <x v="5"/>
    <x v="1"/>
    <x v="4"/>
    <x v="3"/>
    <n v="6"/>
    <n v="1"/>
    <n v="14393.4"/>
    <x v="0"/>
    <x v="0"/>
    <s v="Bueno"/>
  </r>
  <r>
    <d v="2020-01-18T00:00:00"/>
    <n v="4190"/>
    <x v="8"/>
    <n v="57"/>
    <n v="54.552"/>
    <x v="0"/>
    <x v="6"/>
    <x v="1"/>
    <x v="2"/>
    <x v="3"/>
    <n v="2"/>
    <n v="0"/>
    <n v="3109.4639999999999"/>
    <x v="0"/>
    <x v="1"/>
    <s v="Regular"/>
  </r>
  <r>
    <d v="2020-02-22T00:00:00"/>
    <n v="4469"/>
    <x v="5"/>
    <n v="88"/>
    <n v="44.34"/>
    <x v="0"/>
    <x v="7"/>
    <x v="1"/>
    <x v="1"/>
    <x v="1"/>
    <n v="1"/>
    <n v="0"/>
    <n v="3901.92"/>
    <x v="0"/>
    <x v="1"/>
    <s v="Regular"/>
  </r>
  <r>
    <d v="2020-01-06T00:00:00"/>
    <n v="4542"/>
    <x v="8"/>
    <n v="223"/>
    <n v="226.63200000000001"/>
    <x v="1"/>
    <x v="8"/>
    <x v="1"/>
    <x v="0"/>
    <x v="3"/>
    <n v="10"/>
    <n v="0"/>
    <n v="50538.936000000002"/>
    <x v="1"/>
    <x v="1"/>
    <s v="Excelente"/>
  </r>
  <r>
    <d v="2020-02-26T00:00:00"/>
    <n v="4452"/>
    <x v="2"/>
    <n v="138"/>
    <n v="33.384"/>
    <x v="0"/>
    <x v="9"/>
    <x v="1"/>
    <x v="0"/>
    <x v="3"/>
    <n v="3"/>
    <n v="1"/>
    <n v="4606.9920000000002"/>
    <x v="0"/>
    <x v="0"/>
    <s v="Regular"/>
  </r>
  <r>
    <d v="2020-05-04T00:00:00"/>
    <n v="4268"/>
    <x v="4"/>
    <n v="163"/>
    <n v="149.79599999999999"/>
    <x v="1"/>
    <x v="0"/>
    <x v="1"/>
    <x v="3"/>
    <x v="3"/>
    <n v="9"/>
    <n v="1"/>
    <n v="24416.748"/>
    <x v="1"/>
    <x v="0"/>
    <s v="Excelente"/>
  </r>
  <r>
    <d v="2020-02-01T00:00:00"/>
    <n v="4413"/>
    <x v="1"/>
    <n v="18"/>
    <n v="119.10000000000001"/>
    <x v="1"/>
    <x v="1"/>
    <x v="1"/>
    <x v="3"/>
    <x v="1"/>
    <n v="9"/>
    <n v="0"/>
    <n v="2143.8000000000002"/>
    <x v="1"/>
    <x v="1"/>
    <s v="Excelente"/>
  </r>
  <r>
    <d v="2020-11-08T00:00:00"/>
    <n v="4307"/>
    <x v="9"/>
    <n v="184"/>
    <n v="219.84"/>
    <x v="0"/>
    <x v="2"/>
    <x v="1"/>
    <x v="0"/>
    <x v="0"/>
    <n v="8"/>
    <n v="0"/>
    <n v="40450.559999999998"/>
    <x v="0"/>
    <x v="1"/>
    <s v="Bueno"/>
  </r>
  <r>
    <d v="2020-02-21T00:00:00"/>
    <n v="4986"/>
    <x v="0"/>
    <n v="228"/>
    <n v="209.70000000000002"/>
    <x v="1"/>
    <x v="3"/>
    <x v="4"/>
    <x v="0"/>
    <x v="0"/>
    <n v="6"/>
    <n v="0"/>
    <n v="47811.600000000006"/>
    <x v="1"/>
    <x v="1"/>
    <s v="Bueno"/>
  </r>
  <r>
    <d v="2020-09-16T00:00:00"/>
    <n v="4361"/>
    <x v="10"/>
    <n v="203"/>
    <n v="49.823999999999998"/>
    <x v="0"/>
    <x v="4"/>
    <x v="1"/>
    <x v="4"/>
    <x v="1"/>
    <n v="7"/>
    <n v="0"/>
    <n v="10114.271999999999"/>
    <x v="0"/>
    <x v="1"/>
    <s v="Bueno"/>
  </r>
  <r>
    <d v="2020-01-03T00:00:00"/>
    <n v="4738"/>
    <x v="5"/>
    <n v="41"/>
    <n v="88.692000000000007"/>
    <x v="0"/>
    <x v="5"/>
    <x v="5"/>
    <x v="0"/>
    <x v="3"/>
    <n v="7"/>
    <n v="0"/>
    <n v="3636.3720000000003"/>
    <x v="0"/>
    <x v="1"/>
    <s v="Bueno"/>
  </r>
  <r>
    <d v="2020-04-07T00:00:00"/>
    <n v="5032"/>
    <x v="2"/>
    <n v="132"/>
    <n v="62.688000000000002"/>
    <x v="1"/>
    <x v="6"/>
    <x v="0"/>
    <x v="0"/>
    <x v="0"/>
    <n v="6"/>
    <n v="1"/>
    <n v="8274.8160000000007"/>
    <x v="1"/>
    <x v="0"/>
    <s v="Bueno"/>
  </r>
  <r>
    <d v="2020-10-01T00:00:00"/>
    <n v="4727"/>
    <x v="3"/>
    <n v="146"/>
    <n v="142.15200000000002"/>
    <x v="0"/>
    <x v="7"/>
    <x v="2"/>
    <x v="3"/>
    <x v="1"/>
    <n v="10"/>
    <n v="1"/>
    <n v="20754.192000000003"/>
    <x v="0"/>
    <x v="0"/>
    <s v="Excelente"/>
  </r>
  <r>
    <d v="2020-04-07T00:00:00"/>
    <n v="4767"/>
    <x v="0"/>
    <n v="154"/>
    <n v="209.34"/>
    <x v="1"/>
    <x v="8"/>
    <x v="2"/>
    <x v="3"/>
    <x v="1"/>
    <n v="7"/>
    <n v="0"/>
    <n v="32238.36"/>
    <x v="1"/>
    <x v="1"/>
    <s v="Bueno"/>
  </r>
  <r>
    <d v="2020-03-02T00:00:00"/>
    <n v="4213"/>
    <x v="4"/>
    <n v="221"/>
    <n v="77.7"/>
    <x v="0"/>
    <x v="9"/>
    <x v="1"/>
    <x v="3"/>
    <x v="2"/>
    <n v="9"/>
    <n v="0"/>
    <n v="17171.7"/>
    <x v="0"/>
    <x v="1"/>
    <s v="Excelente"/>
  </r>
  <r>
    <d v="2020-03-29T00:00:00"/>
    <n v="4763"/>
    <x v="3"/>
    <n v="88"/>
    <n v="119.556"/>
    <x v="1"/>
    <x v="0"/>
    <x v="5"/>
    <x v="3"/>
    <x v="1"/>
    <n v="7"/>
    <n v="0"/>
    <n v="10520.928"/>
    <x v="1"/>
    <x v="1"/>
    <s v="Bueno"/>
  </r>
  <r>
    <d v="2020-04-23T00:00:00"/>
    <n v="4211"/>
    <x v="0"/>
    <n v="27"/>
    <n v="185.67600000000002"/>
    <x v="0"/>
    <x v="1"/>
    <x v="1"/>
    <x v="4"/>
    <x v="0"/>
    <n v="10"/>
    <n v="1"/>
    <n v="5013.2520000000004"/>
    <x v="0"/>
    <x v="0"/>
    <s v="Excelente"/>
  </r>
  <r>
    <d v="2020-06-12T00:00:00"/>
    <n v="4688"/>
    <x v="3"/>
    <n v="141"/>
    <n v="191.964"/>
    <x v="1"/>
    <x v="2"/>
    <x v="5"/>
    <x v="3"/>
    <x v="3"/>
    <n v="10"/>
    <n v="1"/>
    <n v="27066.923999999999"/>
    <x v="1"/>
    <x v="0"/>
    <s v="Excelente"/>
  </r>
  <r>
    <d v="2020-04-16T00:00:00"/>
    <n v="4194"/>
    <x v="5"/>
    <n v="103"/>
    <n v="154.35599999999999"/>
    <x v="0"/>
    <x v="3"/>
    <x v="1"/>
    <x v="1"/>
    <x v="4"/>
    <n v="1"/>
    <n v="1"/>
    <n v="15898.668"/>
    <x v="0"/>
    <x v="0"/>
    <s v="Regular"/>
  </r>
  <r>
    <d v="2020-11-25T00:00:00"/>
    <n v="4848"/>
    <x v="0"/>
    <n v="145"/>
    <n v="155.256"/>
    <x v="1"/>
    <x v="4"/>
    <x v="5"/>
    <x v="0"/>
    <x v="3"/>
    <n v="1"/>
    <n v="1"/>
    <n v="22512.12"/>
    <x v="1"/>
    <x v="0"/>
    <s v="Regular"/>
  </r>
  <r>
    <d v="2020-09-09T00:00:00"/>
    <n v="4516"/>
    <x v="9"/>
    <n v="16"/>
    <n v="89.94"/>
    <x v="1"/>
    <x v="5"/>
    <x v="1"/>
    <x v="4"/>
    <x v="3"/>
    <n v="6"/>
    <n v="0"/>
    <n v="1439.04"/>
    <x v="1"/>
    <x v="1"/>
    <s v="Bueno"/>
  </r>
  <r>
    <d v="2020-03-07T00:00:00"/>
    <n v="4812"/>
    <x v="0"/>
    <n v="49"/>
    <n v="225.61199999999999"/>
    <x v="0"/>
    <x v="6"/>
    <x v="2"/>
    <x v="0"/>
    <x v="3"/>
    <n v="2"/>
    <n v="1"/>
    <n v="11054.987999999999"/>
    <x v="0"/>
    <x v="0"/>
    <s v="Regular"/>
  </r>
  <r>
    <d v="2020-09-20T00:00:00"/>
    <n v="4576"/>
    <x v="4"/>
    <n v="188"/>
    <n v="71.58"/>
    <x v="0"/>
    <x v="7"/>
    <x v="1"/>
    <x v="4"/>
    <x v="3"/>
    <n v="10"/>
    <n v="0"/>
    <n v="13457.039999999999"/>
    <x v="0"/>
    <x v="1"/>
    <s v="Excelente"/>
  </r>
  <r>
    <d v="2020-03-06T00:00:00"/>
    <n v="4713"/>
    <x v="7"/>
    <n v="49"/>
    <n v="102.24000000000001"/>
    <x v="1"/>
    <x v="8"/>
    <x v="5"/>
    <x v="3"/>
    <x v="1"/>
    <n v="10"/>
    <n v="1"/>
    <n v="5009.76"/>
    <x v="1"/>
    <x v="0"/>
    <s v="Excelente"/>
  </r>
  <r>
    <d v="2020-09-27T00:00:00"/>
    <n v="4310"/>
    <x v="0"/>
    <n v="105"/>
    <n v="47.34"/>
    <x v="1"/>
    <x v="9"/>
    <x v="1"/>
    <x v="2"/>
    <x v="3"/>
    <n v="9"/>
    <n v="1"/>
    <n v="4970.7000000000007"/>
    <x v="1"/>
    <x v="0"/>
    <s v="Excelente"/>
  </r>
  <r>
    <d v="2020-11-01T00:00:00"/>
    <n v="4885"/>
    <x v="2"/>
    <n v="116"/>
    <n v="51.6"/>
    <x v="1"/>
    <x v="0"/>
    <x v="3"/>
    <x v="3"/>
    <x v="1"/>
    <n v="6"/>
    <n v="0"/>
    <n v="5985.6"/>
    <x v="1"/>
    <x v="1"/>
    <s v="Bueno"/>
  </r>
  <r>
    <d v="2020-04-27T00:00:00"/>
    <n v="4192"/>
    <x v="6"/>
    <n v="83"/>
    <n v="131.71199999999999"/>
    <x v="0"/>
    <x v="1"/>
    <x v="1"/>
    <x v="0"/>
    <x v="5"/>
    <n v="1"/>
    <n v="0"/>
    <n v="10932.096"/>
    <x v="0"/>
    <x v="1"/>
    <s v="Regular"/>
  </r>
  <r>
    <d v="2020-03-29T00:00:00"/>
    <n v="4275"/>
    <x v="7"/>
    <n v="25"/>
    <n v="146.54400000000001"/>
    <x v="1"/>
    <x v="2"/>
    <x v="1"/>
    <x v="2"/>
    <x v="1"/>
    <n v="4"/>
    <n v="1"/>
    <n v="3663.6000000000004"/>
    <x v="1"/>
    <x v="0"/>
    <s v="Regular"/>
  </r>
  <r>
    <d v="2020-07-22T00:00:00"/>
    <n v="4807"/>
    <x v="2"/>
    <n v="76"/>
    <n v="173.60400000000001"/>
    <x v="0"/>
    <x v="3"/>
    <x v="2"/>
    <x v="3"/>
    <x v="1"/>
    <n v="2"/>
    <n v="1"/>
    <n v="13193.904"/>
    <x v="0"/>
    <x v="0"/>
    <s v="Regular"/>
  </r>
  <r>
    <d v="2020-03-14T00:00:00"/>
    <n v="4248"/>
    <x v="1"/>
    <n v="18"/>
    <n v="182.79599999999999"/>
    <x v="1"/>
    <x v="4"/>
    <x v="1"/>
    <x v="3"/>
    <x v="4"/>
    <n v="1"/>
    <n v="1"/>
    <n v="3290.328"/>
    <x v="1"/>
    <x v="0"/>
    <s v="Regular"/>
  </r>
  <r>
    <d v="2020-10-14T00:00:00"/>
    <n v="4429"/>
    <x v="7"/>
    <n v="180"/>
    <n v="177.45600000000002"/>
    <x v="0"/>
    <x v="5"/>
    <x v="1"/>
    <x v="1"/>
    <x v="1"/>
    <n v="10"/>
    <n v="0"/>
    <n v="31942.080000000002"/>
    <x v="0"/>
    <x v="1"/>
    <s v="Excelente"/>
  </r>
  <r>
    <d v="2020-10-02T00:00:00"/>
    <n v="4810"/>
    <x v="2"/>
    <n v="102"/>
    <n v="156.91200000000001"/>
    <x v="0"/>
    <x v="6"/>
    <x v="3"/>
    <x v="0"/>
    <x v="3"/>
    <n v="2"/>
    <n v="1"/>
    <n v="16005.024000000001"/>
    <x v="0"/>
    <x v="0"/>
    <s v="Regular"/>
  </r>
  <r>
    <d v="2020-07-28T00:00:00"/>
    <n v="4904"/>
    <x v="1"/>
    <n v="41"/>
    <n v="160.22399999999999"/>
    <x v="1"/>
    <x v="7"/>
    <x v="7"/>
    <x v="0"/>
    <x v="3"/>
    <n v="6"/>
    <n v="0"/>
    <n v="6569.1839999999993"/>
    <x v="1"/>
    <x v="1"/>
    <s v="Bueno"/>
  </r>
  <r>
    <d v="2020-12-20T00:00:00"/>
    <n v="4806"/>
    <x v="0"/>
    <n v="147"/>
    <n v="199.14000000000001"/>
    <x v="0"/>
    <x v="8"/>
    <x v="4"/>
    <x v="0"/>
    <x v="3"/>
    <n v="2"/>
    <n v="1"/>
    <n v="29273.58"/>
    <x v="0"/>
    <x v="0"/>
    <s v="Regular"/>
  </r>
  <r>
    <d v="2020-03-15T00:00:00"/>
    <n v="4527"/>
    <x v="9"/>
    <n v="82"/>
    <n v="13.752000000000001"/>
    <x v="1"/>
    <x v="9"/>
    <x v="1"/>
    <x v="0"/>
    <x v="1"/>
    <n v="9"/>
    <n v="0"/>
    <n v="1127.664"/>
    <x v="1"/>
    <x v="1"/>
    <s v="Excelente"/>
  </r>
  <r>
    <d v="2020-08-02T00:00:00"/>
    <n v="4680"/>
    <x v="7"/>
    <n v="52"/>
    <n v="162.91200000000001"/>
    <x v="1"/>
    <x v="0"/>
    <x v="1"/>
    <x v="2"/>
    <x v="3"/>
    <n v="10"/>
    <n v="0"/>
    <n v="8471.4240000000009"/>
    <x v="1"/>
    <x v="1"/>
    <s v="Excelente"/>
  </r>
  <r>
    <d v="2020-11-14T00:00:00"/>
    <n v="4408"/>
    <x v="2"/>
    <n v="143"/>
    <n v="101.124"/>
    <x v="0"/>
    <x v="1"/>
    <x v="1"/>
    <x v="3"/>
    <x v="3"/>
    <n v="5"/>
    <n v="0"/>
    <n v="14460.732"/>
    <x v="0"/>
    <x v="1"/>
    <s v="Bueno"/>
  </r>
  <r>
    <d v="2020-05-21T00:00:00"/>
    <n v="4305"/>
    <x v="3"/>
    <n v="102"/>
    <n v="98.34"/>
    <x v="0"/>
    <x v="2"/>
    <x v="1"/>
    <x v="2"/>
    <x v="1"/>
    <n v="1"/>
    <n v="0"/>
    <n v="10030.68"/>
    <x v="0"/>
    <x v="1"/>
    <s v="Regular"/>
  </r>
  <r>
    <d v="2020-02-10T00:00:00"/>
    <n v="4302"/>
    <x v="6"/>
    <n v="27"/>
    <n v="205.16400000000002"/>
    <x v="1"/>
    <x v="3"/>
    <x v="1"/>
    <x v="0"/>
    <x v="4"/>
    <n v="9"/>
    <n v="1"/>
    <n v="5539.4280000000008"/>
    <x v="1"/>
    <x v="0"/>
    <s v="Excelente"/>
  </r>
  <r>
    <d v="2020-01-22T00:00:00"/>
    <n v="4328"/>
    <x v="10"/>
    <n v="109"/>
    <n v="65.927999999999997"/>
    <x v="0"/>
    <x v="4"/>
    <x v="1"/>
    <x v="3"/>
    <x v="3"/>
    <n v="4"/>
    <n v="0"/>
    <n v="7186.152"/>
    <x v="0"/>
    <x v="1"/>
    <s v="Regular"/>
  </r>
  <r>
    <d v="2020-10-01T00:00:00"/>
    <n v="4882"/>
    <x v="2"/>
    <n v="49"/>
    <n v="155.50800000000001"/>
    <x v="0"/>
    <x v="5"/>
    <x v="2"/>
    <x v="0"/>
    <x v="3"/>
    <n v="6"/>
    <n v="0"/>
    <n v="7619.8920000000007"/>
    <x v="0"/>
    <x v="1"/>
    <s v="Bueno"/>
  </r>
  <r>
    <d v="2020-10-13T00:00:00"/>
    <n v="4911"/>
    <x v="0"/>
    <n v="61"/>
    <n v="24.876000000000001"/>
    <x v="1"/>
    <x v="6"/>
    <x v="4"/>
    <x v="3"/>
    <x v="1"/>
    <n v="6"/>
    <n v="0"/>
    <n v="1517.4360000000001"/>
    <x v="1"/>
    <x v="1"/>
    <s v="Bueno"/>
  </r>
  <r>
    <d v="2020-06-14T00:00:00"/>
    <n v="4771"/>
    <x v="2"/>
    <n v="93"/>
    <n v="22.548000000000002"/>
    <x v="1"/>
    <x v="7"/>
    <x v="4"/>
    <x v="3"/>
    <x v="1"/>
    <n v="7"/>
    <n v="0"/>
    <n v="2096.9639999999999"/>
    <x v="1"/>
    <x v="1"/>
    <s v="Bueno"/>
  </r>
  <r>
    <d v="2020-09-19T00:00:00"/>
    <n v="4961"/>
    <x v="1"/>
    <n v="62"/>
    <n v="38.160000000000004"/>
    <x v="1"/>
    <x v="8"/>
    <x v="4"/>
    <x v="3"/>
    <x v="4"/>
    <n v="6"/>
    <n v="0"/>
    <n v="2365.92"/>
    <x v="1"/>
    <x v="1"/>
    <s v="Bueno"/>
  </r>
  <r>
    <d v="2020-12-25T00:00:00"/>
    <n v="4761"/>
    <x v="7"/>
    <n v="111"/>
    <n v="132"/>
    <x v="1"/>
    <x v="9"/>
    <x v="4"/>
    <x v="3"/>
    <x v="1"/>
    <n v="7"/>
    <n v="0"/>
    <n v="14652"/>
    <x v="1"/>
    <x v="1"/>
    <s v="Bueno"/>
  </r>
  <r>
    <d v="2020-04-01T00:00:00"/>
    <n v="4611"/>
    <x v="1"/>
    <n v="94"/>
    <n v="179.76"/>
    <x v="1"/>
    <x v="0"/>
    <x v="1"/>
    <x v="4"/>
    <x v="1"/>
    <n v="10"/>
    <n v="1"/>
    <n v="16897.439999999999"/>
    <x v="1"/>
    <x v="0"/>
    <s v="Excelente"/>
  </r>
  <r>
    <d v="2020-07-23T00:00:00"/>
    <n v="4369"/>
    <x v="1"/>
    <n v="127"/>
    <n v="150.828"/>
    <x v="1"/>
    <x v="1"/>
    <x v="1"/>
    <x v="1"/>
    <x v="1"/>
    <n v="8"/>
    <n v="0"/>
    <n v="19155.155999999999"/>
    <x v="1"/>
    <x v="1"/>
    <s v="Bueno"/>
  </r>
  <r>
    <d v="2020-04-08T00:00:00"/>
    <n v="5043"/>
    <x v="0"/>
    <n v="214"/>
    <n v="222.804"/>
    <x v="1"/>
    <x v="2"/>
    <x v="6"/>
    <x v="3"/>
    <x v="4"/>
    <n v="7"/>
    <n v="1"/>
    <n v="47680.055999999997"/>
    <x v="1"/>
    <x v="0"/>
    <s v="Bueno"/>
  </r>
  <r>
    <d v="2020-04-17T00:00:00"/>
    <n v="4354"/>
    <x v="0"/>
    <n v="212"/>
    <n v="98.915999999999997"/>
    <x v="1"/>
    <x v="3"/>
    <x v="1"/>
    <x v="1"/>
    <x v="3"/>
    <n v="7"/>
    <n v="0"/>
    <n v="20970.191999999999"/>
    <x v="1"/>
    <x v="1"/>
    <s v="Bueno"/>
  </r>
  <r>
    <d v="2020-12-25T00:00:00"/>
    <n v="5031"/>
    <x v="0"/>
    <n v="42"/>
    <n v="87.204000000000008"/>
    <x v="0"/>
    <x v="4"/>
    <x v="8"/>
    <x v="3"/>
    <x v="4"/>
    <n v="6"/>
    <n v="1"/>
    <n v="3662.5680000000002"/>
    <x v="0"/>
    <x v="0"/>
    <s v="Bueno"/>
  </r>
  <r>
    <d v="2020-04-18T00:00:00"/>
    <n v="4342"/>
    <x v="2"/>
    <n v="179"/>
    <n v="137.68800000000002"/>
    <x v="1"/>
    <x v="5"/>
    <x v="1"/>
    <x v="0"/>
    <x v="3"/>
    <n v="5"/>
    <n v="1"/>
    <n v="24646.152000000002"/>
    <x v="1"/>
    <x v="0"/>
    <s v="Bueno"/>
  </r>
  <r>
    <d v="2020-07-29T00:00:00"/>
    <n v="4528"/>
    <x v="7"/>
    <n v="126"/>
    <n v="75.396000000000001"/>
    <x v="0"/>
    <x v="6"/>
    <x v="1"/>
    <x v="3"/>
    <x v="3"/>
    <n v="7"/>
    <n v="0"/>
    <n v="9499.8960000000006"/>
    <x v="0"/>
    <x v="1"/>
    <s v="Bueno"/>
  </r>
  <r>
    <d v="2020-04-01T00:00:00"/>
    <n v="4370"/>
    <x v="5"/>
    <n v="147"/>
    <n v="79.02"/>
    <x v="1"/>
    <x v="7"/>
    <x v="1"/>
    <x v="2"/>
    <x v="3"/>
    <n v="1"/>
    <n v="1"/>
    <n v="11615.939999999999"/>
    <x v="1"/>
    <x v="0"/>
    <s v="Regular"/>
  </r>
  <r>
    <d v="2020-02-18T00:00:00"/>
    <n v="4684"/>
    <x v="5"/>
    <n v="87"/>
    <n v="68.268000000000001"/>
    <x v="0"/>
    <x v="8"/>
    <x v="1"/>
    <x v="1"/>
    <x v="3"/>
    <n v="10"/>
    <n v="0"/>
    <n v="5939.3159999999998"/>
    <x v="0"/>
    <x v="1"/>
    <s v="Excelente"/>
  </r>
  <r>
    <d v="2020-12-23T00:00:00"/>
    <n v="4710"/>
    <x v="7"/>
    <n v="41"/>
    <n v="90.3"/>
    <x v="1"/>
    <x v="9"/>
    <x v="3"/>
    <x v="0"/>
    <x v="3"/>
    <n v="10"/>
    <n v="1"/>
    <n v="3702.2999999999997"/>
    <x v="1"/>
    <x v="0"/>
    <s v="Excelente"/>
  </r>
  <r>
    <d v="2020-12-27T00:00:00"/>
    <n v="4944"/>
    <x v="0"/>
    <n v="3"/>
    <n v="161.08799999999999"/>
    <x v="1"/>
    <x v="0"/>
    <x v="7"/>
    <x v="0"/>
    <x v="3"/>
    <n v="6"/>
    <n v="0"/>
    <n v="483.26400000000001"/>
    <x v="1"/>
    <x v="1"/>
    <s v="Bueno"/>
  </r>
  <r>
    <d v="2020-12-15T00:00:00"/>
    <n v="4433"/>
    <x v="4"/>
    <n v="92"/>
    <n v="125.592"/>
    <x v="0"/>
    <x v="1"/>
    <x v="1"/>
    <x v="3"/>
    <x v="1"/>
    <n v="1"/>
    <n v="0"/>
    <n v="11554.464"/>
    <x v="0"/>
    <x v="1"/>
    <s v="Regular"/>
  </r>
  <r>
    <d v="2020-04-13T00:00:00"/>
    <n v="4856"/>
    <x v="1"/>
    <n v="79"/>
    <n v="132.61199999999999"/>
    <x v="0"/>
    <x v="2"/>
    <x v="4"/>
    <x v="0"/>
    <x v="3"/>
    <n v="1"/>
    <n v="1"/>
    <n v="10476.348"/>
    <x v="0"/>
    <x v="0"/>
    <s v="Regular"/>
  </r>
  <r>
    <d v="2020-07-21T00:00:00"/>
    <n v="4300"/>
    <x v="8"/>
    <n v="116"/>
    <n v="221.50800000000001"/>
    <x v="1"/>
    <x v="3"/>
    <x v="1"/>
    <x v="2"/>
    <x v="5"/>
    <n v="8"/>
    <n v="1"/>
    <n v="25694.928"/>
    <x v="1"/>
    <x v="0"/>
    <s v="Bueno"/>
  </r>
  <r>
    <d v="2020-01-02T00:00:00"/>
    <n v="4899"/>
    <x v="0"/>
    <n v="184"/>
    <n v="27.108000000000001"/>
    <x v="1"/>
    <x v="4"/>
    <x v="7"/>
    <x v="3"/>
    <x v="1"/>
    <n v="6"/>
    <n v="0"/>
    <n v="4987.8720000000003"/>
    <x v="1"/>
    <x v="1"/>
    <s v="Bueno"/>
  </r>
  <r>
    <d v="2020-11-05T00:00:00"/>
    <n v="4934"/>
    <x v="1"/>
    <n v="164"/>
    <n v="198.648"/>
    <x v="1"/>
    <x v="5"/>
    <x v="7"/>
    <x v="0"/>
    <x v="3"/>
    <n v="6"/>
    <n v="0"/>
    <n v="32578.272000000001"/>
    <x v="1"/>
    <x v="1"/>
    <s v="Bueno"/>
  </r>
  <r>
    <d v="2020-11-20T00:00:00"/>
    <n v="4287"/>
    <x v="2"/>
    <n v="130"/>
    <n v="155.364"/>
    <x v="1"/>
    <x v="6"/>
    <x v="1"/>
    <x v="0"/>
    <x v="1"/>
    <n v="3"/>
    <n v="1"/>
    <n v="20197.32"/>
    <x v="1"/>
    <x v="0"/>
    <s v="Regular"/>
  </r>
  <r>
    <d v="2020-06-16T00:00:00"/>
    <n v="4492"/>
    <x v="3"/>
    <n v="10"/>
    <n v="151.10400000000001"/>
    <x v="1"/>
    <x v="7"/>
    <x v="1"/>
    <x v="0"/>
    <x v="3"/>
    <n v="7"/>
    <n v="1"/>
    <n v="1511.0400000000002"/>
    <x v="1"/>
    <x v="0"/>
    <s v="Bueno"/>
  </r>
  <r>
    <d v="2020-05-28T00:00:00"/>
    <n v="4919"/>
    <x v="1"/>
    <n v="16"/>
    <n v="65.784000000000006"/>
    <x v="1"/>
    <x v="8"/>
    <x v="7"/>
    <x v="3"/>
    <x v="1"/>
    <n v="6"/>
    <n v="0"/>
    <n v="1052.5440000000001"/>
    <x v="1"/>
    <x v="1"/>
    <s v="Bueno"/>
  </r>
  <r>
    <d v="2020-04-11T00:00:00"/>
    <n v="4962"/>
    <x v="0"/>
    <n v="134"/>
    <n v="24.432000000000002"/>
    <x v="1"/>
    <x v="9"/>
    <x v="2"/>
    <x v="0"/>
    <x v="0"/>
    <n v="6"/>
    <n v="0"/>
    <n v="3273.8880000000004"/>
    <x v="1"/>
    <x v="1"/>
    <s v="Bueno"/>
  </r>
  <r>
    <d v="2020-02-12T00:00:00"/>
    <n v="4768"/>
    <x v="2"/>
    <n v="68"/>
    <n v="120.432"/>
    <x v="0"/>
    <x v="0"/>
    <x v="5"/>
    <x v="0"/>
    <x v="3"/>
    <n v="7"/>
    <n v="1"/>
    <n v="8189.3760000000002"/>
    <x v="0"/>
    <x v="0"/>
    <s v="Bueno"/>
  </r>
  <r>
    <d v="2020-11-09T00:00:00"/>
    <n v="4329"/>
    <x v="9"/>
    <n v="143"/>
    <n v="44.676000000000002"/>
    <x v="0"/>
    <x v="1"/>
    <x v="1"/>
    <x v="1"/>
    <x v="1"/>
    <n v="6"/>
    <n v="1"/>
    <n v="6388.6680000000006"/>
    <x v="0"/>
    <x v="0"/>
    <s v="Bueno"/>
  </r>
  <r>
    <d v="2020-09-22T00:00:00"/>
    <n v="5045"/>
    <x v="1"/>
    <n v="117"/>
    <n v="193.90800000000002"/>
    <x v="0"/>
    <x v="2"/>
    <x v="6"/>
    <x v="3"/>
    <x v="4"/>
    <n v="7"/>
    <n v="1"/>
    <n v="22687.236000000001"/>
    <x v="0"/>
    <x v="0"/>
    <s v="Bueno"/>
  </r>
  <r>
    <d v="2020-01-29T00:00:00"/>
    <n v="5017"/>
    <x v="2"/>
    <n v="146"/>
    <n v="18.600000000000001"/>
    <x v="1"/>
    <x v="3"/>
    <x v="2"/>
    <x v="3"/>
    <x v="4"/>
    <n v="6"/>
    <n v="1"/>
    <n v="2715.6000000000004"/>
    <x v="1"/>
    <x v="0"/>
    <s v="Bueno"/>
  </r>
  <r>
    <d v="2020-06-09T00:00:00"/>
    <n v="4935"/>
    <x v="0"/>
    <n v="19"/>
    <n v="60.468000000000004"/>
    <x v="1"/>
    <x v="4"/>
    <x v="3"/>
    <x v="3"/>
    <x v="1"/>
    <n v="6"/>
    <n v="0"/>
    <n v="1148.8920000000001"/>
    <x v="1"/>
    <x v="1"/>
    <s v="Bueno"/>
  </r>
  <r>
    <d v="2020-03-11T00:00:00"/>
    <n v="4721"/>
    <x v="3"/>
    <n v="145"/>
    <n v="19.056000000000001"/>
    <x v="1"/>
    <x v="5"/>
    <x v="4"/>
    <x v="3"/>
    <x v="1"/>
    <n v="10"/>
    <n v="0"/>
    <n v="2763.1200000000003"/>
    <x v="1"/>
    <x v="1"/>
    <s v="Excelente"/>
  </r>
  <r>
    <d v="2020-08-01T00:00:00"/>
    <n v="4502"/>
    <x v="5"/>
    <n v="135"/>
    <n v="98.784000000000006"/>
    <x v="0"/>
    <x v="6"/>
    <x v="1"/>
    <x v="0"/>
    <x v="3"/>
    <n v="1"/>
    <n v="1"/>
    <n v="13335.84"/>
    <x v="0"/>
    <x v="0"/>
    <s v="Regular"/>
  </r>
  <r>
    <d v="2020-11-16T00:00:00"/>
    <n v="4493"/>
    <x v="10"/>
    <n v="147"/>
    <n v="166.44"/>
    <x v="1"/>
    <x v="7"/>
    <x v="1"/>
    <x v="3"/>
    <x v="1"/>
    <n v="8"/>
    <n v="0"/>
    <n v="24466.68"/>
    <x v="1"/>
    <x v="1"/>
    <s v="Bueno"/>
  </r>
  <r>
    <d v="2020-10-27T00:00:00"/>
    <n v="4461"/>
    <x v="9"/>
    <n v="47"/>
    <n v="5.4359999999999999"/>
    <x v="0"/>
    <x v="8"/>
    <x v="1"/>
    <x v="4"/>
    <x v="1"/>
    <n v="2"/>
    <n v="0"/>
    <n v="255.49199999999999"/>
    <x v="0"/>
    <x v="1"/>
    <s v="Regular"/>
  </r>
  <r>
    <d v="2020-04-01T00:00:00"/>
    <n v="4331"/>
    <x v="2"/>
    <n v="92"/>
    <n v="148.65600000000001"/>
    <x v="0"/>
    <x v="9"/>
    <x v="1"/>
    <x v="4"/>
    <x v="1"/>
    <n v="2"/>
    <n v="0"/>
    <n v="13676.352000000001"/>
    <x v="0"/>
    <x v="1"/>
    <s v="Regular"/>
  </r>
  <r>
    <d v="2020-01-17T00:00:00"/>
    <n v="4379"/>
    <x v="6"/>
    <n v="25"/>
    <n v="216.32400000000001"/>
    <x v="1"/>
    <x v="0"/>
    <x v="1"/>
    <x v="1"/>
    <x v="1"/>
    <n v="6"/>
    <n v="0"/>
    <n v="5408.1"/>
    <x v="1"/>
    <x v="1"/>
    <s v="Bueno"/>
  </r>
  <r>
    <d v="2020-11-05T00:00:00"/>
    <n v="4558"/>
    <x v="3"/>
    <n v="57"/>
    <n v="72.84"/>
    <x v="0"/>
    <x v="1"/>
    <x v="1"/>
    <x v="3"/>
    <x v="3"/>
    <n v="10"/>
    <n v="0"/>
    <n v="4151.88"/>
    <x v="0"/>
    <x v="1"/>
    <s v="Excelente"/>
  </r>
  <r>
    <d v="2020-07-28T00:00:00"/>
    <n v="4582"/>
    <x v="9"/>
    <n v="101"/>
    <n v="99.384"/>
    <x v="0"/>
    <x v="2"/>
    <x v="1"/>
    <x v="0"/>
    <x v="3"/>
    <n v="10"/>
    <n v="0"/>
    <n v="10037.784"/>
    <x v="0"/>
    <x v="1"/>
    <s v="Excelente"/>
  </r>
  <r>
    <d v="2020-11-07T00:00:00"/>
    <n v="4711"/>
    <x v="5"/>
    <n v="195"/>
    <n v="11.58"/>
    <x v="1"/>
    <x v="3"/>
    <x v="4"/>
    <x v="3"/>
    <x v="1"/>
    <n v="10"/>
    <n v="0"/>
    <n v="2258.1"/>
    <x v="1"/>
    <x v="1"/>
    <s v="Excelente"/>
  </r>
  <r>
    <d v="2020-01-28T00:00:00"/>
    <n v="4518"/>
    <x v="2"/>
    <n v="61"/>
    <n v="14.928000000000001"/>
    <x v="0"/>
    <x v="4"/>
    <x v="1"/>
    <x v="3"/>
    <x v="3"/>
    <n v="9"/>
    <n v="1"/>
    <n v="910.60800000000006"/>
    <x v="0"/>
    <x v="0"/>
    <s v="Excelente"/>
  </r>
  <r>
    <d v="2020-11-24T00:00:00"/>
    <n v="4743"/>
    <x v="7"/>
    <n v="63"/>
    <n v="3.66"/>
    <x v="1"/>
    <x v="5"/>
    <x v="5"/>
    <x v="3"/>
    <x v="1"/>
    <n v="7"/>
    <n v="0"/>
    <n v="230.58"/>
    <x v="1"/>
    <x v="1"/>
    <s v="Bueno"/>
  </r>
  <r>
    <d v="2020-06-29T00:00:00"/>
    <n v="4677"/>
    <x v="1"/>
    <n v="83"/>
    <n v="157.74"/>
    <x v="1"/>
    <x v="6"/>
    <x v="1"/>
    <x v="0"/>
    <x v="1"/>
    <n v="10"/>
    <n v="1"/>
    <n v="13092.42"/>
    <x v="1"/>
    <x v="0"/>
    <s v="Excelente"/>
  </r>
  <r>
    <d v="2020-07-25T00:00:00"/>
    <n v="4276"/>
    <x v="2"/>
    <n v="80"/>
    <n v="157.62"/>
    <x v="0"/>
    <x v="7"/>
    <x v="1"/>
    <x v="4"/>
    <x v="5"/>
    <n v="9"/>
    <n v="1"/>
    <n v="12609.6"/>
    <x v="0"/>
    <x v="0"/>
    <s v="Excelente"/>
  </r>
  <r>
    <d v="2020-07-13T00:00:00"/>
    <n v="4745"/>
    <x v="3"/>
    <n v="197"/>
    <n v="38.316000000000003"/>
    <x v="0"/>
    <x v="8"/>
    <x v="3"/>
    <x v="3"/>
    <x v="1"/>
    <n v="7"/>
    <n v="0"/>
    <n v="7548.2520000000004"/>
    <x v="0"/>
    <x v="1"/>
    <s v="Bueno"/>
  </r>
  <r>
    <d v="2020-08-23T00:00:00"/>
    <n v="4278"/>
    <x v="8"/>
    <n v="164"/>
    <n v="167.172"/>
    <x v="0"/>
    <x v="9"/>
    <x v="1"/>
    <x v="3"/>
    <x v="4"/>
    <n v="6"/>
    <n v="0"/>
    <n v="27416.207999999999"/>
    <x v="0"/>
    <x v="1"/>
    <s v="Bueno"/>
  </r>
  <r>
    <d v="2020-03-11T00:00:00"/>
    <n v="4762"/>
    <x v="5"/>
    <n v="162"/>
    <n v="199.44"/>
    <x v="1"/>
    <x v="0"/>
    <x v="2"/>
    <x v="0"/>
    <x v="3"/>
    <n v="7"/>
    <n v="1"/>
    <n v="32309.279999999999"/>
    <x v="1"/>
    <x v="0"/>
    <s v="Bueno"/>
  </r>
  <r>
    <d v="2020-05-10T00:00:00"/>
    <n v="4654"/>
    <x v="6"/>
    <n v="211"/>
    <n v="148.96799999999999"/>
    <x v="1"/>
    <x v="1"/>
    <x v="1"/>
    <x v="1"/>
    <x v="3"/>
    <n v="10"/>
    <n v="1"/>
    <n v="31432.247999999996"/>
    <x v="1"/>
    <x v="0"/>
    <s v="Excelente"/>
  </r>
  <r>
    <d v="2020-06-17T00:00:00"/>
    <n v="4617"/>
    <x v="2"/>
    <n v="204"/>
    <n v="148.06800000000001"/>
    <x v="1"/>
    <x v="2"/>
    <x v="1"/>
    <x v="0"/>
    <x v="1"/>
    <n v="10"/>
    <n v="0"/>
    <n v="30205.872000000003"/>
    <x v="1"/>
    <x v="1"/>
    <s v="Excelente"/>
  </r>
  <r>
    <d v="2020-03-09T00:00:00"/>
    <n v="4694"/>
    <x v="3"/>
    <n v="13"/>
    <n v="64.296000000000006"/>
    <x v="0"/>
    <x v="3"/>
    <x v="7"/>
    <x v="1"/>
    <x v="3"/>
    <n v="10"/>
    <n v="1"/>
    <n v="835.84800000000007"/>
    <x v="0"/>
    <x v="0"/>
    <s v="Excelente"/>
  </r>
  <r>
    <d v="2020-08-14T00:00:00"/>
    <n v="4626"/>
    <x v="9"/>
    <n v="177"/>
    <n v="212.65200000000002"/>
    <x v="1"/>
    <x v="4"/>
    <x v="1"/>
    <x v="4"/>
    <x v="3"/>
    <n v="10"/>
    <n v="1"/>
    <n v="37639.404000000002"/>
    <x v="1"/>
    <x v="0"/>
    <s v="Excelente"/>
  </r>
  <r>
    <d v="2020-07-02T00:00:00"/>
    <n v="4636"/>
    <x v="10"/>
    <n v="116"/>
    <n v="210.732"/>
    <x v="0"/>
    <x v="5"/>
    <x v="1"/>
    <x v="4"/>
    <x v="3"/>
    <n v="10"/>
    <n v="1"/>
    <n v="24444.912"/>
    <x v="0"/>
    <x v="0"/>
    <s v="Excelente"/>
  </r>
  <r>
    <d v="2020-12-22T00:00:00"/>
    <n v="4508"/>
    <x v="0"/>
    <n v="70"/>
    <n v="149.64000000000001"/>
    <x v="1"/>
    <x v="6"/>
    <x v="1"/>
    <x v="3"/>
    <x v="3"/>
    <n v="8"/>
    <n v="0"/>
    <n v="10474.800000000001"/>
    <x v="1"/>
    <x v="1"/>
    <s v="Bueno"/>
  </r>
  <r>
    <d v="2020-11-03T00:00:00"/>
    <n v="4769"/>
    <x v="1"/>
    <n v="18"/>
    <n v="151.16400000000002"/>
    <x v="1"/>
    <x v="7"/>
    <x v="7"/>
    <x v="3"/>
    <x v="1"/>
    <n v="7"/>
    <n v="1"/>
    <n v="2720.9520000000002"/>
    <x v="1"/>
    <x v="0"/>
    <s v="Bueno"/>
  </r>
  <r>
    <d v="2020-11-20T00:00:00"/>
    <n v="4619"/>
    <x v="8"/>
    <n v="195"/>
    <n v="124.248"/>
    <x v="0"/>
    <x v="8"/>
    <x v="1"/>
    <x v="1"/>
    <x v="1"/>
    <n v="10"/>
    <n v="0"/>
    <n v="24228.36"/>
    <x v="0"/>
    <x v="1"/>
    <s v="Excelente"/>
  </r>
  <r>
    <d v="2020-09-16T00:00:00"/>
    <n v="4444"/>
    <x v="4"/>
    <n v="102"/>
    <n v="148.452"/>
    <x v="0"/>
    <x v="9"/>
    <x v="1"/>
    <x v="1"/>
    <x v="3"/>
    <n v="6"/>
    <n v="1"/>
    <n v="15142.103999999999"/>
    <x v="0"/>
    <x v="0"/>
    <s v="Bueno"/>
  </r>
  <r>
    <d v="2020-01-06T00:00:00"/>
    <n v="4754"/>
    <x v="3"/>
    <n v="202"/>
    <n v="76.632000000000005"/>
    <x v="0"/>
    <x v="0"/>
    <x v="7"/>
    <x v="0"/>
    <x v="3"/>
    <n v="7"/>
    <n v="0"/>
    <n v="15479.664000000001"/>
    <x v="0"/>
    <x v="1"/>
    <s v="Bueno"/>
  </r>
  <r>
    <d v="2020-12-27T00:00:00"/>
    <n v="4740"/>
    <x v="7"/>
    <n v="116"/>
    <n v="228.108"/>
    <x v="0"/>
    <x v="1"/>
    <x v="3"/>
    <x v="0"/>
    <x v="3"/>
    <n v="7"/>
    <n v="0"/>
    <n v="26460.528000000002"/>
    <x v="0"/>
    <x v="1"/>
    <s v="Bueno"/>
  </r>
  <r>
    <d v="2020-08-10T00:00:00"/>
    <n v="4314"/>
    <x v="1"/>
    <n v="9"/>
    <n v="106.116"/>
    <x v="0"/>
    <x v="2"/>
    <x v="1"/>
    <x v="1"/>
    <x v="3"/>
    <n v="6"/>
    <n v="0"/>
    <n v="955.04399999999998"/>
    <x v="0"/>
    <x v="1"/>
    <s v="Bueno"/>
  </r>
  <r>
    <d v="2020-06-23T00:00:00"/>
    <n v="4753"/>
    <x v="5"/>
    <n v="149"/>
    <n v="169.70400000000001"/>
    <x v="0"/>
    <x v="3"/>
    <x v="5"/>
    <x v="3"/>
    <x v="1"/>
    <n v="7"/>
    <n v="1"/>
    <n v="25285.896000000001"/>
    <x v="0"/>
    <x v="0"/>
    <s v="Bueno"/>
  </r>
  <r>
    <d v="2020-07-05T00:00:00"/>
    <n v="4483"/>
    <x v="9"/>
    <n v="137"/>
    <n v="42.515999999999998"/>
    <x v="1"/>
    <x v="4"/>
    <x v="1"/>
    <x v="3"/>
    <x v="1"/>
    <n v="6"/>
    <n v="1"/>
    <n v="5824.692"/>
    <x v="1"/>
    <x v="0"/>
    <s v="Bueno"/>
  </r>
  <r>
    <d v="2020-12-19T00:00:00"/>
    <n v="4206"/>
    <x v="3"/>
    <n v="174"/>
    <n v="151.35599999999999"/>
    <x v="1"/>
    <x v="5"/>
    <x v="1"/>
    <x v="4"/>
    <x v="4"/>
    <n v="3"/>
    <n v="1"/>
    <n v="26335.944"/>
    <x v="1"/>
    <x v="0"/>
    <s v="Regular"/>
  </r>
  <r>
    <d v="2020-07-06T00:00:00"/>
    <n v="4543"/>
    <x v="4"/>
    <n v="101"/>
    <n v="66.540000000000006"/>
    <x v="0"/>
    <x v="6"/>
    <x v="1"/>
    <x v="3"/>
    <x v="1"/>
    <n v="10"/>
    <n v="1"/>
    <n v="6720.5400000000009"/>
    <x v="0"/>
    <x v="0"/>
    <s v="Excelente"/>
  </r>
  <r>
    <d v="2020-11-28T00:00:00"/>
    <n v="4574"/>
    <x v="0"/>
    <n v="200"/>
    <n v="115.72800000000001"/>
    <x v="1"/>
    <x v="7"/>
    <x v="1"/>
    <x v="1"/>
    <x v="3"/>
    <n v="10"/>
    <n v="1"/>
    <n v="23145.600000000002"/>
    <x v="1"/>
    <x v="0"/>
    <s v="Excelente"/>
  </r>
  <r>
    <d v="2020-10-21T00:00:00"/>
    <n v="4468"/>
    <x v="1"/>
    <n v="52"/>
    <n v="228.768"/>
    <x v="1"/>
    <x v="8"/>
    <x v="1"/>
    <x v="3"/>
    <x v="3"/>
    <n v="7"/>
    <n v="1"/>
    <n v="11895.936"/>
    <x v="1"/>
    <x v="0"/>
    <s v="Bueno"/>
  </r>
  <r>
    <d v="2020-07-10T00:00:00"/>
    <n v="4700"/>
    <x v="3"/>
    <n v="217"/>
    <n v="42.660000000000004"/>
    <x v="0"/>
    <x v="9"/>
    <x v="3"/>
    <x v="2"/>
    <x v="3"/>
    <n v="10"/>
    <n v="1"/>
    <n v="9257.2200000000012"/>
    <x v="0"/>
    <x v="0"/>
    <s v="Excelente"/>
  </r>
  <r>
    <d v="2020-10-24T00:00:00"/>
    <n v="4819"/>
    <x v="2"/>
    <n v="181"/>
    <n v="26.676000000000002"/>
    <x v="0"/>
    <x v="0"/>
    <x v="7"/>
    <x v="3"/>
    <x v="1"/>
    <n v="2"/>
    <n v="1"/>
    <n v="4828.3560000000007"/>
    <x v="0"/>
    <x v="0"/>
    <s v="Regular"/>
  </r>
  <r>
    <d v="2020-02-02T00:00:00"/>
    <n v="4396"/>
    <x v="7"/>
    <n v="222"/>
    <n v="205.392"/>
    <x v="1"/>
    <x v="1"/>
    <x v="1"/>
    <x v="4"/>
    <x v="3"/>
    <n v="8"/>
    <n v="1"/>
    <n v="45597.023999999998"/>
    <x v="1"/>
    <x v="0"/>
    <s v="Bueno"/>
  </r>
  <r>
    <d v="2020-04-04T00:00:00"/>
    <n v="4915"/>
    <x v="2"/>
    <n v="163"/>
    <n v="128.61600000000001"/>
    <x v="1"/>
    <x v="2"/>
    <x v="3"/>
    <x v="3"/>
    <x v="1"/>
    <n v="6"/>
    <n v="0"/>
    <n v="20964.408000000003"/>
    <x v="1"/>
    <x v="1"/>
    <s v="Bueno"/>
  </r>
  <r>
    <d v="2020-06-24T00:00:00"/>
    <n v="4809"/>
    <x v="0"/>
    <n v="202"/>
    <n v="69.096000000000004"/>
    <x v="0"/>
    <x v="3"/>
    <x v="7"/>
    <x v="3"/>
    <x v="1"/>
    <n v="2"/>
    <n v="1"/>
    <n v="13957.392"/>
    <x v="0"/>
    <x v="0"/>
    <s v="Regular"/>
  </r>
  <r>
    <d v="2020-10-29T00:00:00"/>
    <n v="4309"/>
    <x v="2"/>
    <n v="59"/>
    <n v="101.736"/>
    <x v="0"/>
    <x v="4"/>
    <x v="1"/>
    <x v="1"/>
    <x v="2"/>
    <n v="10"/>
    <n v="1"/>
    <n v="6002.424"/>
    <x v="0"/>
    <x v="0"/>
    <s v="Excelente"/>
  </r>
  <r>
    <d v="2020-12-27T00:00:00"/>
    <n v="4933"/>
    <x v="2"/>
    <n v="49"/>
    <n v="195.06"/>
    <x v="1"/>
    <x v="5"/>
    <x v="5"/>
    <x v="3"/>
    <x v="1"/>
    <n v="6"/>
    <n v="0"/>
    <n v="9557.94"/>
    <x v="1"/>
    <x v="1"/>
    <s v="Bueno"/>
  </r>
  <r>
    <d v="2020-11-07T00:00:00"/>
    <n v="4976"/>
    <x v="1"/>
    <n v="141"/>
    <n v="153.24"/>
    <x v="0"/>
    <x v="6"/>
    <x v="4"/>
    <x v="0"/>
    <x v="0"/>
    <n v="6"/>
    <n v="0"/>
    <n v="21606.84"/>
    <x v="0"/>
    <x v="1"/>
    <s v="Bueno"/>
  </r>
  <r>
    <d v="2020-02-18T00:00:00"/>
    <n v="4646"/>
    <x v="3"/>
    <n v="26"/>
    <n v="98.064000000000007"/>
    <x v="1"/>
    <x v="7"/>
    <x v="1"/>
    <x v="4"/>
    <x v="3"/>
    <n v="10"/>
    <n v="0"/>
    <n v="2549.6640000000002"/>
    <x v="1"/>
    <x v="1"/>
    <s v="Excelente"/>
  </r>
  <r>
    <d v="2020-04-09T00:00:00"/>
    <n v="4485"/>
    <x v="2"/>
    <n v="16"/>
    <n v="20.231999999999999"/>
    <x v="1"/>
    <x v="8"/>
    <x v="1"/>
    <x v="2"/>
    <x v="1"/>
    <n v="2"/>
    <n v="0"/>
    <n v="323.71199999999999"/>
    <x v="1"/>
    <x v="1"/>
    <s v="Regular"/>
  </r>
  <r>
    <d v="2020-11-25T00:00:00"/>
    <n v="4803"/>
    <x v="0"/>
    <n v="226"/>
    <n v="225.34800000000001"/>
    <x v="0"/>
    <x v="9"/>
    <x v="5"/>
    <x v="3"/>
    <x v="1"/>
    <n v="7"/>
    <n v="1"/>
    <n v="50928.648000000001"/>
    <x v="0"/>
    <x v="0"/>
    <s v="Bueno"/>
  </r>
  <r>
    <d v="2020-09-24T00:00:00"/>
    <n v="4409"/>
    <x v="0"/>
    <n v="209"/>
    <n v="95.963999999999999"/>
    <x v="0"/>
    <x v="0"/>
    <x v="1"/>
    <x v="1"/>
    <x v="1"/>
    <n v="1"/>
    <n v="1"/>
    <n v="20056.475999999999"/>
    <x v="0"/>
    <x v="0"/>
    <s v="Regular"/>
  </r>
  <r>
    <d v="2020-07-09T00:00:00"/>
    <n v="4454"/>
    <x v="8"/>
    <n v="42"/>
    <n v="177.756"/>
    <x v="1"/>
    <x v="1"/>
    <x v="1"/>
    <x v="1"/>
    <x v="3"/>
    <n v="9"/>
    <n v="1"/>
    <n v="7465.7520000000004"/>
    <x v="1"/>
    <x v="0"/>
    <s v="Excelente"/>
  </r>
  <r>
    <d v="2020-05-12T00:00:00"/>
    <n v="4603"/>
    <x v="10"/>
    <n v="100"/>
    <n v="47.387999999999998"/>
    <x v="1"/>
    <x v="2"/>
    <x v="1"/>
    <x v="3"/>
    <x v="1"/>
    <n v="10"/>
    <n v="1"/>
    <n v="4738.8"/>
    <x v="1"/>
    <x v="0"/>
    <s v="Excelente"/>
  </r>
  <r>
    <d v="2020-10-24T00:00:00"/>
    <n v="4301"/>
    <x v="4"/>
    <n v="93"/>
    <n v="137.47200000000001"/>
    <x v="1"/>
    <x v="3"/>
    <x v="1"/>
    <x v="4"/>
    <x v="0"/>
    <n v="7"/>
    <n v="0"/>
    <n v="12784.896000000001"/>
    <x v="1"/>
    <x v="1"/>
    <s v="Bueno"/>
  </r>
  <r>
    <d v="2020-10-24T00:00:00"/>
    <n v="4735"/>
    <x v="5"/>
    <n v="205"/>
    <n v="221.60400000000001"/>
    <x v="0"/>
    <x v="4"/>
    <x v="3"/>
    <x v="3"/>
    <x v="1"/>
    <n v="7"/>
    <n v="0"/>
    <n v="45428.82"/>
    <x v="0"/>
    <x v="1"/>
    <s v="Bueno"/>
  </r>
  <r>
    <d v="2020-07-19T00:00:00"/>
    <n v="4838"/>
    <x v="1"/>
    <n v="105"/>
    <n v="111.78"/>
    <x v="0"/>
    <x v="5"/>
    <x v="5"/>
    <x v="0"/>
    <x v="3"/>
    <n v="2"/>
    <n v="1"/>
    <n v="11736.9"/>
    <x v="0"/>
    <x v="0"/>
    <s v="Regular"/>
  </r>
  <r>
    <d v="2020-01-28T00:00:00"/>
    <n v="4894"/>
    <x v="2"/>
    <n v="161"/>
    <n v="219.756"/>
    <x v="1"/>
    <x v="6"/>
    <x v="7"/>
    <x v="0"/>
    <x v="3"/>
    <n v="6"/>
    <n v="0"/>
    <n v="35380.716"/>
    <x v="1"/>
    <x v="1"/>
    <s v="Bueno"/>
  </r>
  <r>
    <d v="2020-12-09T00:00:00"/>
    <n v="4590"/>
    <x v="5"/>
    <n v="113"/>
    <n v="109.812"/>
    <x v="0"/>
    <x v="7"/>
    <x v="1"/>
    <x v="2"/>
    <x v="3"/>
    <n v="10"/>
    <n v="1"/>
    <n v="12408.755999999999"/>
    <x v="0"/>
    <x v="0"/>
    <s v="Excelente"/>
  </r>
  <r>
    <d v="2020-02-18T00:00:00"/>
    <n v="4959"/>
    <x v="0"/>
    <n v="144"/>
    <n v="143.88"/>
    <x v="0"/>
    <x v="8"/>
    <x v="7"/>
    <x v="3"/>
    <x v="4"/>
    <n v="6"/>
    <n v="0"/>
    <n v="20718.72"/>
    <x v="0"/>
    <x v="1"/>
    <s v="Bueno"/>
  </r>
  <r>
    <d v="2020-03-14T00:00:00"/>
    <n v="4932"/>
    <x v="0"/>
    <n v="213"/>
    <n v="3.72"/>
    <x v="0"/>
    <x v="9"/>
    <x v="2"/>
    <x v="0"/>
    <x v="3"/>
    <n v="6"/>
    <n v="0"/>
    <n v="792.36"/>
    <x v="0"/>
    <x v="1"/>
    <s v="Bueno"/>
  </r>
  <r>
    <d v="2020-09-14T00:00:00"/>
    <n v="4814"/>
    <x v="1"/>
    <n v="86"/>
    <n v="151.88400000000001"/>
    <x v="1"/>
    <x v="0"/>
    <x v="7"/>
    <x v="0"/>
    <x v="3"/>
    <n v="2"/>
    <n v="1"/>
    <n v="13062.024000000001"/>
    <x v="1"/>
    <x v="0"/>
    <s v="Regular"/>
  </r>
  <r>
    <d v="2020-10-25T00:00:00"/>
    <n v="4416"/>
    <x v="10"/>
    <n v="124"/>
    <n v="118.536"/>
    <x v="0"/>
    <x v="1"/>
    <x v="1"/>
    <x v="4"/>
    <x v="3"/>
    <n v="5"/>
    <n v="0"/>
    <n v="14698.464"/>
    <x v="0"/>
    <x v="1"/>
    <s v="Bueno"/>
  </r>
  <r>
    <d v="2020-12-27T00:00:00"/>
    <n v="4288"/>
    <x v="0"/>
    <n v="86"/>
    <n v="163.82400000000001"/>
    <x v="1"/>
    <x v="2"/>
    <x v="1"/>
    <x v="3"/>
    <x v="5"/>
    <n v="8"/>
    <n v="1"/>
    <n v="14088.864000000001"/>
    <x v="1"/>
    <x v="0"/>
    <s v="Bueno"/>
  </r>
  <r>
    <d v="2020-04-14T00:00:00"/>
    <n v="4174"/>
    <x v="10"/>
    <n v="211"/>
    <n v="96.251999999999995"/>
    <x v="1"/>
    <x v="3"/>
    <x v="1"/>
    <x v="1"/>
    <x v="5"/>
    <n v="4"/>
    <n v="1"/>
    <n v="20309.171999999999"/>
    <x v="1"/>
    <x v="0"/>
    <s v="Regular"/>
  </r>
  <r>
    <d v="2020-03-22T00:00:00"/>
    <n v="4888"/>
    <x v="2"/>
    <n v="142"/>
    <n v="84.048000000000002"/>
    <x v="0"/>
    <x v="4"/>
    <x v="5"/>
    <x v="0"/>
    <x v="3"/>
    <n v="6"/>
    <n v="0"/>
    <n v="11934.816000000001"/>
    <x v="0"/>
    <x v="1"/>
    <s v="Bueno"/>
  </r>
  <r>
    <d v="2020-03-17T00:00:00"/>
    <n v="4645"/>
    <x v="5"/>
    <n v="201"/>
    <n v="97.272000000000006"/>
    <x v="1"/>
    <x v="5"/>
    <x v="1"/>
    <x v="2"/>
    <x v="1"/>
    <n v="10"/>
    <n v="0"/>
    <n v="19551.672000000002"/>
    <x v="1"/>
    <x v="1"/>
    <s v="Excelente"/>
  </r>
  <r>
    <d v="2020-11-16T00:00:00"/>
    <n v="5035"/>
    <x v="2"/>
    <n v="198"/>
    <n v="87.036000000000001"/>
    <x v="0"/>
    <x v="6"/>
    <x v="6"/>
    <x v="3"/>
    <x v="4"/>
    <n v="7"/>
    <n v="1"/>
    <n v="17233.128000000001"/>
    <x v="0"/>
    <x v="0"/>
    <s v="Bueno"/>
  </r>
  <r>
    <d v="2020-09-04T00:00:00"/>
    <n v="4435"/>
    <x v="1"/>
    <n v="34"/>
    <n v="82.26"/>
    <x v="0"/>
    <x v="7"/>
    <x v="1"/>
    <x v="2"/>
    <x v="1"/>
    <n v="4"/>
    <n v="0"/>
    <n v="2796.84"/>
    <x v="0"/>
    <x v="1"/>
    <s v="Regular"/>
  </r>
  <r>
    <d v="2020-09-04T00:00:00"/>
    <n v="4374"/>
    <x v="7"/>
    <n v="132"/>
    <n v="149.892"/>
    <x v="1"/>
    <x v="8"/>
    <x v="1"/>
    <x v="1"/>
    <x v="3"/>
    <n v="8"/>
    <n v="0"/>
    <n v="19785.743999999999"/>
    <x v="1"/>
    <x v="1"/>
    <s v="Bueno"/>
  </r>
  <r>
    <d v="2020-12-15T00:00:00"/>
    <n v="4463"/>
    <x v="2"/>
    <n v="18"/>
    <n v="60.396000000000001"/>
    <x v="0"/>
    <x v="9"/>
    <x v="1"/>
    <x v="3"/>
    <x v="1"/>
    <n v="1"/>
    <n v="0"/>
    <n v="1087.1279999999999"/>
    <x v="0"/>
    <x v="1"/>
    <s v="Regular"/>
  </r>
  <r>
    <d v="2020-04-10T00:00:00"/>
    <n v="4230"/>
    <x v="9"/>
    <n v="151"/>
    <n v="169.77600000000001"/>
    <x v="0"/>
    <x v="0"/>
    <x v="1"/>
    <x v="2"/>
    <x v="4"/>
    <n v="4"/>
    <n v="0"/>
    <n v="25636.176000000003"/>
    <x v="0"/>
    <x v="1"/>
    <s v="Regular"/>
  </r>
  <r>
    <d v="2020-05-17T00:00:00"/>
    <n v="4726"/>
    <x v="5"/>
    <n v="171"/>
    <n v="45.335999999999999"/>
    <x v="1"/>
    <x v="1"/>
    <x v="4"/>
    <x v="0"/>
    <x v="3"/>
    <n v="10"/>
    <n v="1"/>
    <n v="7752.4560000000001"/>
    <x v="1"/>
    <x v="0"/>
    <s v="Excelente"/>
  </r>
  <r>
    <d v="2020-08-10T00:00:00"/>
    <n v="4593"/>
    <x v="9"/>
    <n v="179"/>
    <n v="75.216000000000008"/>
    <x v="1"/>
    <x v="2"/>
    <x v="1"/>
    <x v="3"/>
    <x v="1"/>
    <n v="10"/>
    <n v="0"/>
    <n v="13463.664000000001"/>
    <x v="1"/>
    <x v="1"/>
    <s v="Excelente"/>
  </r>
  <r>
    <d v="2020-11-14T00:00:00"/>
    <n v="4177"/>
    <x v="2"/>
    <n v="71"/>
    <n v="153.31200000000001"/>
    <x v="0"/>
    <x v="3"/>
    <x v="1"/>
    <x v="0"/>
    <x v="2"/>
    <n v="9"/>
    <n v="0"/>
    <n v="10885.152"/>
    <x v="0"/>
    <x v="1"/>
    <s v="Excelente"/>
  </r>
  <r>
    <d v="2020-02-04T00:00:00"/>
    <n v="4334"/>
    <x v="4"/>
    <n v="187"/>
    <n v="215.34"/>
    <x v="1"/>
    <x v="4"/>
    <x v="1"/>
    <x v="1"/>
    <x v="3"/>
    <n v="3"/>
    <n v="1"/>
    <n v="40268.58"/>
    <x v="1"/>
    <x v="0"/>
    <s v="Regular"/>
  </r>
  <r>
    <d v="2020-04-23T00:00:00"/>
    <n v="5023"/>
    <x v="2"/>
    <n v="160"/>
    <n v="190.464"/>
    <x v="1"/>
    <x v="5"/>
    <x v="5"/>
    <x v="3"/>
    <x v="4"/>
    <n v="6"/>
    <n v="1"/>
    <n v="30474.239999999998"/>
    <x v="1"/>
    <x v="0"/>
    <s v="Bueno"/>
  </r>
  <r>
    <d v="2020-08-18T00:00:00"/>
    <n v="4638"/>
    <x v="7"/>
    <n v="148"/>
    <n v="58.776000000000003"/>
    <x v="0"/>
    <x v="6"/>
    <x v="1"/>
    <x v="3"/>
    <x v="3"/>
    <n v="10"/>
    <n v="0"/>
    <n v="8698.848"/>
    <x v="0"/>
    <x v="1"/>
    <s v="Excelente"/>
  </r>
  <r>
    <d v="2020-08-27T00:00:00"/>
    <n v="4845"/>
    <x v="0"/>
    <n v="109"/>
    <n v="111.756"/>
    <x v="1"/>
    <x v="7"/>
    <x v="3"/>
    <x v="3"/>
    <x v="1"/>
    <n v="1"/>
    <n v="1"/>
    <n v="12181.404"/>
    <x v="1"/>
    <x v="0"/>
    <s v="Regular"/>
  </r>
  <r>
    <d v="2020-07-20T00:00:00"/>
    <n v="4442"/>
    <x v="0"/>
    <n v="150"/>
    <n v="101.244"/>
    <x v="1"/>
    <x v="8"/>
    <x v="1"/>
    <x v="0"/>
    <x v="3"/>
    <n v="4"/>
    <n v="0"/>
    <n v="15186.6"/>
    <x v="1"/>
    <x v="1"/>
    <s v="Regular"/>
  </r>
  <r>
    <d v="2020-04-04T00:00:00"/>
    <n v="4292"/>
    <x v="1"/>
    <n v="111"/>
    <n v="196.03200000000001"/>
    <x v="1"/>
    <x v="9"/>
    <x v="1"/>
    <x v="0"/>
    <x v="3"/>
    <n v="3"/>
    <n v="0"/>
    <n v="21759.552"/>
    <x v="1"/>
    <x v="1"/>
    <s v="Regular"/>
  </r>
  <r>
    <d v="2020-02-24T00:00:00"/>
    <n v="5044"/>
    <x v="2"/>
    <n v="144"/>
    <n v="186.40800000000002"/>
    <x v="1"/>
    <x v="0"/>
    <x v="0"/>
    <x v="0"/>
    <x v="0"/>
    <n v="7"/>
    <n v="1"/>
    <n v="26842.752"/>
    <x v="1"/>
    <x v="0"/>
    <s v="Bueno"/>
  </r>
  <r>
    <d v="2020-01-01T00:00:00"/>
    <n v="4227"/>
    <x v="5"/>
    <n v="81"/>
    <n v="174.696"/>
    <x v="0"/>
    <x v="1"/>
    <x v="1"/>
    <x v="0"/>
    <x v="1"/>
    <n v="7"/>
    <n v="0"/>
    <n v="14150.376"/>
    <x v="0"/>
    <x v="1"/>
    <s v="Bueno"/>
  </r>
  <r>
    <d v="2020-02-27T00:00:00"/>
    <n v="4861"/>
    <x v="2"/>
    <n v="65"/>
    <n v="14.604000000000001"/>
    <x v="1"/>
    <x v="2"/>
    <x v="4"/>
    <x v="3"/>
    <x v="1"/>
    <n v="1"/>
    <n v="1"/>
    <n v="949.2600000000001"/>
    <x v="1"/>
    <x v="0"/>
    <s v="Regular"/>
  </r>
  <r>
    <d v="2020-04-26T00:00:00"/>
    <n v="4926"/>
    <x v="0"/>
    <n v="31"/>
    <n v="225.54"/>
    <x v="0"/>
    <x v="3"/>
    <x v="4"/>
    <x v="0"/>
    <x v="3"/>
    <n v="6"/>
    <n v="0"/>
    <n v="6991.74"/>
    <x v="0"/>
    <x v="1"/>
    <s v="Bueno"/>
  </r>
  <r>
    <d v="2020-06-17T00:00:00"/>
    <n v="4786"/>
    <x v="2"/>
    <n v="149"/>
    <n v="81.372"/>
    <x v="0"/>
    <x v="4"/>
    <x v="4"/>
    <x v="0"/>
    <x v="3"/>
    <n v="7"/>
    <n v="1"/>
    <n v="12124.428"/>
    <x v="0"/>
    <x v="0"/>
    <s v="Bueno"/>
  </r>
  <r>
    <d v="2020-05-22T00:00:00"/>
    <n v="4521"/>
    <x v="4"/>
    <n v="11"/>
    <n v="129.792"/>
    <x v="0"/>
    <x v="5"/>
    <x v="1"/>
    <x v="4"/>
    <x v="1"/>
    <n v="6"/>
    <n v="0"/>
    <n v="1427.712"/>
    <x v="0"/>
    <x v="1"/>
    <s v="Bueno"/>
  </r>
  <r>
    <d v="2020-11-02T00:00:00"/>
    <n v="4931"/>
    <x v="1"/>
    <n v="226"/>
    <n v="23.82"/>
    <x v="1"/>
    <x v="6"/>
    <x v="4"/>
    <x v="3"/>
    <x v="1"/>
    <n v="6"/>
    <n v="0"/>
    <n v="5383.32"/>
    <x v="1"/>
    <x v="1"/>
    <s v="Bueno"/>
  </r>
  <r>
    <d v="2020-11-21T00:00:00"/>
    <n v="4823"/>
    <x v="1"/>
    <n v="90"/>
    <n v="94.968000000000004"/>
    <x v="0"/>
    <x v="7"/>
    <x v="5"/>
    <x v="3"/>
    <x v="1"/>
    <n v="2"/>
    <n v="1"/>
    <n v="8547.1200000000008"/>
    <x v="0"/>
    <x v="0"/>
    <s v="Regular"/>
  </r>
  <r>
    <d v="2020-04-26T00:00:00"/>
    <n v="4723"/>
    <x v="5"/>
    <n v="229"/>
    <n v="57.828000000000003"/>
    <x v="1"/>
    <x v="8"/>
    <x v="5"/>
    <x v="3"/>
    <x v="1"/>
    <n v="10"/>
    <n v="0"/>
    <n v="13242.612000000001"/>
    <x v="1"/>
    <x v="1"/>
    <s v="Excelente"/>
  </r>
  <r>
    <d v="2020-10-26T00:00:00"/>
    <n v="4827"/>
    <x v="0"/>
    <n v="207"/>
    <n v="113.08800000000001"/>
    <x v="1"/>
    <x v="9"/>
    <x v="2"/>
    <x v="3"/>
    <x v="1"/>
    <n v="2"/>
    <n v="1"/>
    <n v="23409.216"/>
    <x v="1"/>
    <x v="0"/>
    <s v="Regular"/>
  </r>
  <r>
    <d v="2020-06-08T00:00:00"/>
    <n v="4950"/>
    <x v="0"/>
    <n v="117"/>
    <n v="197.65200000000002"/>
    <x v="0"/>
    <x v="0"/>
    <x v="3"/>
    <x v="0"/>
    <x v="3"/>
    <n v="6"/>
    <n v="0"/>
    <n v="23125.284000000003"/>
    <x v="0"/>
    <x v="1"/>
    <s v="Bueno"/>
  </r>
  <r>
    <d v="2020-04-11T00:00:00"/>
    <n v="4705"/>
    <x v="5"/>
    <n v="99"/>
    <n v="72.168000000000006"/>
    <x v="1"/>
    <x v="1"/>
    <x v="3"/>
    <x v="2"/>
    <x v="1"/>
    <n v="10"/>
    <n v="0"/>
    <n v="7144.6320000000005"/>
    <x v="1"/>
    <x v="1"/>
    <s v="Excelente"/>
  </r>
  <r>
    <d v="2020-05-06T00:00:00"/>
    <n v="4851"/>
    <x v="0"/>
    <n v="63"/>
    <n v="47.411999999999999"/>
    <x v="0"/>
    <x v="2"/>
    <x v="4"/>
    <x v="3"/>
    <x v="1"/>
    <n v="1"/>
    <n v="1"/>
    <n v="2986.9560000000001"/>
    <x v="0"/>
    <x v="0"/>
    <s v="Regular"/>
  </r>
  <r>
    <d v="2020-04-28T00:00:00"/>
    <n v="4984"/>
    <x v="2"/>
    <n v="63"/>
    <n v="112.56"/>
    <x v="0"/>
    <x v="3"/>
    <x v="7"/>
    <x v="0"/>
    <x v="0"/>
    <n v="6"/>
    <n v="0"/>
    <n v="7091.28"/>
    <x v="0"/>
    <x v="1"/>
    <s v="Bueno"/>
  </r>
  <r>
    <d v="2020-02-19T00:00:00"/>
    <n v="4967"/>
    <x v="1"/>
    <n v="31"/>
    <n v="220.66800000000001"/>
    <x v="0"/>
    <x v="4"/>
    <x v="2"/>
    <x v="3"/>
    <x v="4"/>
    <n v="6"/>
    <n v="0"/>
    <n v="6840.7080000000005"/>
    <x v="0"/>
    <x v="1"/>
    <s v="Bueno"/>
  </r>
  <r>
    <d v="2020-10-04T00:00:00"/>
    <n v="4673"/>
    <x v="0"/>
    <n v="77"/>
    <n v="97.284000000000006"/>
    <x v="1"/>
    <x v="5"/>
    <x v="1"/>
    <x v="3"/>
    <x v="1"/>
    <n v="10"/>
    <n v="1"/>
    <n v="7490.8680000000004"/>
    <x v="1"/>
    <x v="0"/>
    <s v="Excelente"/>
  </r>
  <r>
    <d v="2020-03-22T00:00:00"/>
    <n v="4185"/>
    <x v="10"/>
    <n v="109"/>
    <n v="76.44"/>
    <x v="1"/>
    <x v="6"/>
    <x v="1"/>
    <x v="2"/>
    <x v="1"/>
    <n v="3"/>
    <n v="1"/>
    <n v="8331.9599999999991"/>
    <x v="1"/>
    <x v="0"/>
    <s v="Regular"/>
  </r>
  <r>
    <d v="2020-05-03T00:00:00"/>
    <n v="4627"/>
    <x v="7"/>
    <n v="230"/>
    <n v="195.61199999999999"/>
    <x v="0"/>
    <x v="7"/>
    <x v="1"/>
    <x v="0"/>
    <x v="1"/>
    <n v="10"/>
    <n v="0"/>
    <n v="44990.76"/>
    <x v="0"/>
    <x v="1"/>
    <s v="Excelente"/>
  </r>
  <r>
    <d v="2020-03-02T00:00:00"/>
    <n v="4348"/>
    <x v="5"/>
    <n v="123"/>
    <n v="1.9319999999999999"/>
    <x v="1"/>
    <x v="8"/>
    <x v="1"/>
    <x v="3"/>
    <x v="3"/>
    <n v="1"/>
    <n v="0"/>
    <n v="237.636"/>
    <x v="1"/>
    <x v="1"/>
    <s v="Regular"/>
  </r>
  <r>
    <d v="2020-12-03T00:00:00"/>
    <n v="4222"/>
    <x v="0"/>
    <n v="173"/>
    <n v="146.78399999999999"/>
    <x v="0"/>
    <x v="9"/>
    <x v="1"/>
    <x v="0"/>
    <x v="5"/>
    <n v="10"/>
    <n v="1"/>
    <n v="25393.631999999998"/>
    <x v="0"/>
    <x v="0"/>
    <s v="Excelente"/>
  </r>
  <r>
    <d v="2020-04-20T00:00:00"/>
    <n v="4290"/>
    <x v="4"/>
    <n v="72"/>
    <n v="155.62800000000001"/>
    <x v="1"/>
    <x v="0"/>
    <x v="1"/>
    <x v="2"/>
    <x v="4"/>
    <n v="1"/>
    <n v="0"/>
    <n v="11205.216"/>
    <x v="1"/>
    <x v="1"/>
    <s v="Regular"/>
  </r>
  <r>
    <d v="2020-11-05T00:00:00"/>
    <n v="4849"/>
    <x v="2"/>
    <n v="161"/>
    <n v="154.72800000000001"/>
    <x v="1"/>
    <x v="1"/>
    <x v="7"/>
    <x v="3"/>
    <x v="1"/>
    <n v="1"/>
    <n v="1"/>
    <n v="24911.208000000002"/>
    <x v="1"/>
    <x v="0"/>
    <s v="Regular"/>
  </r>
  <r>
    <d v="2020-02-20T00:00:00"/>
    <n v="4530"/>
    <x v="0"/>
    <n v="139"/>
    <n v="142.18800000000002"/>
    <x v="1"/>
    <x v="2"/>
    <x v="1"/>
    <x v="2"/>
    <x v="3"/>
    <n v="3"/>
    <n v="1"/>
    <n v="19764.132000000001"/>
    <x v="1"/>
    <x v="0"/>
    <s v="Regular"/>
  </r>
  <r>
    <d v="2020-11-21T00:00:00"/>
    <n v="4960"/>
    <x v="2"/>
    <n v="136"/>
    <n v="203.46"/>
    <x v="1"/>
    <x v="3"/>
    <x v="3"/>
    <x v="0"/>
    <x v="0"/>
    <n v="6"/>
    <n v="0"/>
    <n v="27670.560000000001"/>
    <x v="1"/>
    <x v="1"/>
    <s v="Bueno"/>
  </r>
  <r>
    <d v="2020-12-21T00:00:00"/>
    <n v="4779"/>
    <x v="0"/>
    <n v="172"/>
    <n v="20.076000000000001"/>
    <x v="1"/>
    <x v="4"/>
    <x v="7"/>
    <x v="3"/>
    <x v="1"/>
    <n v="7"/>
    <n v="0"/>
    <n v="3453.0720000000001"/>
    <x v="1"/>
    <x v="1"/>
    <s v="Bueno"/>
  </r>
  <r>
    <d v="2020-03-28T00:00:00"/>
    <n v="4264"/>
    <x v="7"/>
    <n v="172"/>
    <n v="34.764000000000003"/>
    <x v="0"/>
    <x v="5"/>
    <x v="1"/>
    <x v="1"/>
    <x v="5"/>
    <n v="6"/>
    <n v="0"/>
    <n v="5979.4080000000004"/>
    <x v="0"/>
    <x v="1"/>
    <s v="Bueno"/>
  </r>
  <r>
    <d v="2020-11-13T00:00:00"/>
    <n v="4941"/>
    <x v="0"/>
    <n v="65"/>
    <n v="214.11600000000001"/>
    <x v="1"/>
    <x v="6"/>
    <x v="4"/>
    <x v="3"/>
    <x v="1"/>
    <n v="6"/>
    <n v="0"/>
    <n v="13917.54"/>
    <x v="1"/>
    <x v="1"/>
    <s v="Bueno"/>
  </r>
  <r>
    <d v="2020-04-21T00:00:00"/>
    <n v="4450"/>
    <x v="9"/>
    <n v="81"/>
    <n v="53.508000000000003"/>
    <x v="0"/>
    <x v="7"/>
    <x v="1"/>
    <x v="2"/>
    <x v="3"/>
    <n v="2"/>
    <n v="1"/>
    <n v="4334.1480000000001"/>
    <x v="0"/>
    <x v="0"/>
    <s v="Regular"/>
  </r>
  <r>
    <d v="2020-08-19T00:00:00"/>
    <n v="4702"/>
    <x v="5"/>
    <n v="142"/>
    <n v="47.616"/>
    <x v="0"/>
    <x v="8"/>
    <x v="2"/>
    <x v="0"/>
    <x v="3"/>
    <n v="10"/>
    <n v="1"/>
    <n v="6761.4719999999998"/>
    <x v="0"/>
    <x v="0"/>
    <s v="Excelente"/>
  </r>
  <r>
    <d v="2020-06-28T00:00:00"/>
    <n v="4580"/>
    <x v="3"/>
    <n v="198"/>
    <n v="168.768"/>
    <x v="0"/>
    <x v="9"/>
    <x v="1"/>
    <x v="2"/>
    <x v="3"/>
    <n v="10"/>
    <n v="0"/>
    <n v="33416.063999999998"/>
    <x v="0"/>
    <x v="1"/>
    <s v="Excelente"/>
  </r>
  <r>
    <d v="2020-08-08T00:00:00"/>
    <n v="4522"/>
    <x v="6"/>
    <n v="193"/>
    <n v="16.728000000000002"/>
    <x v="0"/>
    <x v="0"/>
    <x v="1"/>
    <x v="0"/>
    <x v="3"/>
    <n v="9"/>
    <n v="1"/>
    <n v="3228.5040000000004"/>
    <x v="0"/>
    <x v="0"/>
    <s v="Excelente"/>
  </r>
  <r>
    <d v="2020-10-05T00:00:00"/>
    <n v="4235"/>
    <x v="4"/>
    <n v="180"/>
    <n v="48.347999999999999"/>
    <x v="1"/>
    <x v="1"/>
    <x v="1"/>
    <x v="2"/>
    <x v="0"/>
    <n v="10"/>
    <n v="0"/>
    <n v="8702.64"/>
    <x v="1"/>
    <x v="1"/>
    <s v="Excelente"/>
  </r>
  <r>
    <d v="2020-01-05T00:00:00"/>
    <n v="4391"/>
    <x v="1"/>
    <n v="95"/>
    <n v="214.584"/>
    <x v="0"/>
    <x v="2"/>
    <x v="1"/>
    <x v="4"/>
    <x v="1"/>
    <n v="5"/>
    <n v="1"/>
    <n v="20385.48"/>
    <x v="0"/>
    <x v="0"/>
    <s v="Bueno"/>
  </r>
  <r>
    <d v="2020-08-17T00:00:00"/>
    <n v="4670"/>
    <x v="9"/>
    <n v="78"/>
    <n v="101.46000000000001"/>
    <x v="1"/>
    <x v="3"/>
    <x v="1"/>
    <x v="2"/>
    <x v="3"/>
    <n v="10"/>
    <n v="1"/>
    <n v="7913.880000000001"/>
    <x v="1"/>
    <x v="0"/>
    <s v="Excelente"/>
  </r>
  <r>
    <d v="2020-01-16T00:00:00"/>
    <n v="4914"/>
    <x v="0"/>
    <n v="145"/>
    <n v="105.55200000000001"/>
    <x v="0"/>
    <x v="4"/>
    <x v="7"/>
    <x v="0"/>
    <x v="3"/>
    <n v="6"/>
    <n v="0"/>
    <n v="15305.04"/>
    <x v="0"/>
    <x v="1"/>
    <s v="Bueno"/>
  </r>
  <r>
    <d v="2020-12-26T00:00:00"/>
    <n v="4597"/>
    <x v="8"/>
    <n v="4"/>
    <n v="182.61600000000001"/>
    <x v="1"/>
    <x v="5"/>
    <x v="1"/>
    <x v="0"/>
    <x v="1"/>
    <n v="10"/>
    <n v="0"/>
    <n v="730.46400000000006"/>
    <x v="1"/>
    <x v="1"/>
    <s v="Excelente"/>
  </r>
  <r>
    <d v="2020-08-24T00:00:00"/>
    <n v="4826"/>
    <x v="1"/>
    <n v="162"/>
    <n v="83.856000000000009"/>
    <x v="0"/>
    <x v="6"/>
    <x v="4"/>
    <x v="0"/>
    <x v="3"/>
    <n v="2"/>
    <n v="1"/>
    <n v="13584.672000000002"/>
    <x v="0"/>
    <x v="0"/>
    <s v="Regular"/>
  </r>
  <r>
    <d v="2020-11-07T00:00:00"/>
    <n v="4327"/>
    <x v="3"/>
    <n v="4"/>
    <n v="42.911999999999999"/>
    <x v="0"/>
    <x v="7"/>
    <x v="1"/>
    <x v="0"/>
    <x v="1"/>
    <n v="9"/>
    <n v="1"/>
    <n v="171.648"/>
    <x v="0"/>
    <x v="0"/>
    <s v="Excelente"/>
  </r>
  <r>
    <d v="2020-05-03T00:00:00"/>
    <n v="4844"/>
    <x v="1"/>
    <n v="173"/>
    <n v="111.06"/>
    <x v="0"/>
    <x v="8"/>
    <x v="7"/>
    <x v="0"/>
    <x v="3"/>
    <n v="1"/>
    <n v="1"/>
    <n v="19213.38"/>
    <x v="0"/>
    <x v="0"/>
    <s v="Regular"/>
  </r>
  <r>
    <d v="2020-04-04T00:00:00"/>
    <n v="4741"/>
    <x v="5"/>
    <n v="3"/>
    <n v="143.208"/>
    <x v="1"/>
    <x v="9"/>
    <x v="4"/>
    <x v="3"/>
    <x v="1"/>
    <n v="7"/>
    <n v="0"/>
    <n v="429.62400000000002"/>
    <x v="1"/>
    <x v="1"/>
    <s v="Bueno"/>
  </r>
  <r>
    <d v="2020-03-19T00:00:00"/>
    <n v="4401"/>
    <x v="6"/>
    <n v="100"/>
    <n v="214.71600000000001"/>
    <x v="0"/>
    <x v="0"/>
    <x v="1"/>
    <x v="4"/>
    <x v="1"/>
    <n v="9"/>
    <n v="0"/>
    <n v="21471.600000000002"/>
    <x v="0"/>
    <x v="1"/>
    <s v="Excelente"/>
  </r>
  <r>
    <d v="2020-03-24T00:00:00"/>
    <n v="4228"/>
    <x v="3"/>
    <n v="67"/>
    <n v="136.90800000000002"/>
    <x v="1"/>
    <x v="1"/>
    <x v="1"/>
    <x v="3"/>
    <x v="5"/>
    <n v="1"/>
    <n v="0"/>
    <n v="9172.8360000000011"/>
    <x v="1"/>
    <x v="1"/>
    <s v="Regular"/>
  </r>
  <r>
    <d v="2020-04-04T00:00:00"/>
    <n v="4568"/>
    <x v="5"/>
    <n v="151"/>
    <n v="29.748000000000001"/>
    <x v="1"/>
    <x v="2"/>
    <x v="1"/>
    <x v="3"/>
    <x v="3"/>
    <n v="10"/>
    <n v="0"/>
    <n v="4491.9480000000003"/>
    <x v="1"/>
    <x v="1"/>
    <s v="Excelente"/>
  </r>
  <r>
    <d v="2020-07-10T00:00:00"/>
    <n v="4868"/>
    <x v="1"/>
    <n v="73"/>
    <n v="157.38"/>
    <x v="0"/>
    <x v="3"/>
    <x v="5"/>
    <x v="0"/>
    <x v="3"/>
    <n v="6"/>
    <n v="0"/>
    <n v="11488.74"/>
    <x v="0"/>
    <x v="1"/>
    <s v="Bueno"/>
  </r>
  <r>
    <d v="2020-11-03T00:00:00"/>
    <n v="4448"/>
    <x v="3"/>
    <n v="218"/>
    <n v="173.73599999999999"/>
    <x v="1"/>
    <x v="4"/>
    <x v="1"/>
    <x v="3"/>
    <x v="3"/>
    <n v="10"/>
    <n v="0"/>
    <n v="37874.447999999997"/>
    <x v="1"/>
    <x v="1"/>
    <s v="Excelente"/>
  </r>
  <r>
    <d v="2020-11-11T00:00:00"/>
    <n v="4587"/>
    <x v="4"/>
    <n v="202"/>
    <n v="12.264000000000001"/>
    <x v="0"/>
    <x v="5"/>
    <x v="1"/>
    <x v="0"/>
    <x v="1"/>
    <n v="10"/>
    <n v="1"/>
    <n v="2477.3280000000004"/>
    <x v="0"/>
    <x v="0"/>
    <s v="Excelente"/>
  </r>
  <r>
    <d v="2020-11-24T00:00:00"/>
    <n v="4405"/>
    <x v="10"/>
    <n v="106"/>
    <n v="164.244"/>
    <x v="0"/>
    <x v="6"/>
    <x v="1"/>
    <x v="2"/>
    <x v="1"/>
    <n v="2"/>
    <n v="1"/>
    <n v="17409.864000000001"/>
    <x v="0"/>
    <x v="0"/>
    <s v="Regular"/>
  </r>
  <r>
    <d v="2020-03-29T00:00:00"/>
    <n v="4475"/>
    <x v="0"/>
    <n v="201"/>
    <n v="72.12"/>
    <x v="1"/>
    <x v="7"/>
    <x v="1"/>
    <x v="2"/>
    <x v="1"/>
    <n v="5"/>
    <n v="1"/>
    <n v="14496.12"/>
    <x v="1"/>
    <x v="0"/>
    <s v="Bueno"/>
  </r>
  <r>
    <d v="2020-01-10T00:00:00"/>
    <n v="4385"/>
    <x v="7"/>
    <n v="115"/>
    <n v="180.108"/>
    <x v="0"/>
    <x v="8"/>
    <x v="1"/>
    <x v="2"/>
    <x v="1"/>
    <n v="9"/>
    <n v="1"/>
    <n v="20712.420000000002"/>
    <x v="0"/>
    <x v="0"/>
    <s v="Excelente"/>
  </r>
  <r>
    <d v="2020-12-20T00:00:00"/>
    <n v="4382"/>
    <x v="3"/>
    <n v="25"/>
    <n v="170.84399999999999"/>
    <x v="0"/>
    <x v="9"/>
    <x v="1"/>
    <x v="0"/>
    <x v="3"/>
    <n v="9"/>
    <n v="0"/>
    <n v="4271.0999999999995"/>
    <x v="0"/>
    <x v="1"/>
    <s v="Excelente"/>
  </r>
  <r>
    <d v="2020-11-25T00:00:00"/>
    <n v="4318"/>
    <x v="9"/>
    <n v="36"/>
    <n v="37.776000000000003"/>
    <x v="0"/>
    <x v="0"/>
    <x v="1"/>
    <x v="3"/>
    <x v="3"/>
    <n v="7"/>
    <n v="1"/>
    <n v="1359.9360000000001"/>
    <x v="0"/>
    <x v="0"/>
    <s v="Bueno"/>
  </r>
  <r>
    <d v="2020-09-22T00:00:00"/>
    <n v="4678"/>
    <x v="5"/>
    <n v="131"/>
    <n v="91.284000000000006"/>
    <x v="1"/>
    <x v="1"/>
    <x v="1"/>
    <x v="3"/>
    <x v="3"/>
    <n v="10"/>
    <n v="1"/>
    <n v="11958.204000000002"/>
    <x v="1"/>
    <x v="0"/>
    <s v="Excelente"/>
  </r>
  <r>
    <d v="2020-03-28T00:00:00"/>
    <n v="4652"/>
    <x v="8"/>
    <n v="214"/>
    <n v="89.531999999999996"/>
    <x v="0"/>
    <x v="2"/>
    <x v="1"/>
    <x v="0"/>
    <x v="3"/>
    <n v="10"/>
    <n v="0"/>
    <n v="19159.847999999998"/>
    <x v="0"/>
    <x v="1"/>
    <s v="Excelente"/>
  </r>
  <r>
    <d v="2020-08-02T00:00:00"/>
    <n v="4860"/>
    <x v="0"/>
    <n v="191"/>
    <n v="16.116"/>
    <x v="0"/>
    <x v="3"/>
    <x v="3"/>
    <x v="0"/>
    <x v="3"/>
    <n v="1"/>
    <n v="1"/>
    <n v="3078.1559999999999"/>
    <x v="0"/>
    <x v="0"/>
    <s v="Regular"/>
  </r>
  <r>
    <d v="2020-01-01T00:00:00"/>
    <n v="4821"/>
    <x v="0"/>
    <n v="144"/>
    <n v="222.54"/>
    <x v="1"/>
    <x v="4"/>
    <x v="4"/>
    <x v="3"/>
    <x v="1"/>
    <n v="2"/>
    <n v="1"/>
    <n v="32045.759999999998"/>
    <x v="1"/>
    <x v="0"/>
    <s v="Regular"/>
  </r>
  <r>
    <d v="2020-09-04T00:00:00"/>
    <n v="4175"/>
    <x v="9"/>
    <n v="83"/>
    <n v="29.472000000000001"/>
    <x v="1"/>
    <x v="5"/>
    <x v="1"/>
    <x v="2"/>
    <x v="0"/>
    <n v="7"/>
    <n v="0"/>
    <n v="2446.1759999999999"/>
    <x v="1"/>
    <x v="1"/>
    <s v="Bueno"/>
  </r>
  <r>
    <d v="2020-08-24T00:00:00"/>
    <n v="4195"/>
    <x v="3"/>
    <n v="211"/>
    <n v="211.65600000000001"/>
    <x v="0"/>
    <x v="6"/>
    <x v="1"/>
    <x v="2"/>
    <x v="2"/>
    <n v="5"/>
    <n v="1"/>
    <n v="44659.416000000005"/>
    <x v="0"/>
    <x v="0"/>
    <s v="Bueno"/>
  </r>
  <r>
    <d v="2020-10-03T00:00:00"/>
    <n v="4732"/>
    <x v="5"/>
    <n v="39"/>
    <n v="179.44800000000001"/>
    <x v="1"/>
    <x v="7"/>
    <x v="2"/>
    <x v="0"/>
    <x v="3"/>
    <n v="7"/>
    <n v="0"/>
    <n v="6998.4720000000007"/>
    <x v="1"/>
    <x v="1"/>
    <s v="Bueno"/>
  </r>
  <r>
    <d v="2020-09-02T00:00:00"/>
    <n v="4725"/>
    <x v="7"/>
    <n v="195"/>
    <n v="224.316"/>
    <x v="1"/>
    <x v="8"/>
    <x v="3"/>
    <x v="3"/>
    <x v="1"/>
    <n v="10"/>
    <n v="1"/>
    <n v="43741.62"/>
    <x v="1"/>
    <x v="0"/>
    <s v="Excelente"/>
  </r>
  <r>
    <d v="2020-09-15T00:00:00"/>
    <n v="4921"/>
    <x v="2"/>
    <n v="12"/>
    <n v="189.684"/>
    <x v="1"/>
    <x v="9"/>
    <x v="4"/>
    <x v="3"/>
    <x v="1"/>
    <n v="6"/>
    <n v="0"/>
    <n v="2276.2080000000001"/>
    <x v="1"/>
    <x v="1"/>
    <s v="Bueno"/>
  </r>
  <r>
    <d v="2020-04-20T00:00:00"/>
    <n v="4707"/>
    <x v="7"/>
    <n v="38"/>
    <n v="81.048000000000002"/>
    <x v="1"/>
    <x v="0"/>
    <x v="2"/>
    <x v="3"/>
    <x v="1"/>
    <n v="10"/>
    <n v="0"/>
    <n v="3079.8240000000001"/>
    <x v="1"/>
    <x v="1"/>
    <s v="Excelente"/>
  </r>
  <r>
    <d v="2020-07-18T00:00:00"/>
    <n v="4412"/>
    <x v="6"/>
    <n v="13"/>
    <n v="91.992000000000004"/>
    <x v="0"/>
    <x v="1"/>
    <x v="1"/>
    <x v="0"/>
    <x v="3"/>
    <n v="1"/>
    <n v="0"/>
    <n v="1195.896"/>
    <x v="0"/>
    <x v="1"/>
    <s v="Regular"/>
  </r>
  <r>
    <d v="2020-04-08T00:00:00"/>
    <n v="4946"/>
    <x v="1"/>
    <n v="47"/>
    <n v="177.828"/>
    <x v="0"/>
    <x v="2"/>
    <x v="4"/>
    <x v="0"/>
    <x v="3"/>
    <n v="6"/>
    <n v="0"/>
    <n v="8357.9159999999993"/>
    <x v="0"/>
    <x v="1"/>
    <s v="Bueno"/>
  </r>
  <r>
    <d v="2020-11-10T00:00:00"/>
    <n v="4760"/>
    <x v="3"/>
    <n v="71"/>
    <n v="138.61199999999999"/>
    <x v="1"/>
    <x v="3"/>
    <x v="3"/>
    <x v="0"/>
    <x v="3"/>
    <n v="7"/>
    <n v="0"/>
    <n v="9841.4519999999993"/>
    <x v="1"/>
    <x v="1"/>
    <s v="Bueno"/>
  </r>
  <r>
    <d v="2020-05-29T00:00:00"/>
    <n v="4794"/>
    <x v="0"/>
    <n v="96"/>
    <n v="44.172000000000004"/>
    <x v="0"/>
    <x v="4"/>
    <x v="7"/>
    <x v="0"/>
    <x v="3"/>
    <n v="7"/>
    <n v="1"/>
    <n v="4240.5120000000006"/>
    <x v="0"/>
    <x v="0"/>
    <s v="Bueno"/>
  </r>
  <r>
    <d v="2020-10-08T00:00:00"/>
    <n v="4795"/>
    <x v="2"/>
    <n v="16"/>
    <n v="5.4"/>
    <x v="1"/>
    <x v="5"/>
    <x v="3"/>
    <x v="3"/>
    <x v="1"/>
    <n v="7"/>
    <n v="1"/>
    <n v="86.4"/>
    <x v="1"/>
    <x v="0"/>
    <s v="Bueno"/>
  </r>
  <r>
    <d v="2020-09-20T00:00:00"/>
    <n v="4820"/>
    <x v="1"/>
    <n v="132"/>
    <n v="197.79599999999999"/>
    <x v="0"/>
    <x v="6"/>
    <x v="3"/>
    <x v="0"/>
    <x v="3"/>
    <n v="2"/>
    <n v="1"/>
    <n v="26109.072"/>
    <x v="0"/>
    <x v="0"/>
    <s v="Regular"/>
  </r>
  <r>
    <d v="2020-05-17T00:00:00"/>
    <n v="4929"/>
    <x v="0"/>
    <n v="128"/>
    <n v="53.771999999999998"/>
    <x v="0"/>
    <x v="7"/>
    <x v="7"/>
    <x v="3"/>
    <x v="1"/>
    <n v="6"/>
    <n v="0"/>
    <n v="6882.8159999999998"/>
    <x v="0"/>
    <x v="1"/>
    <s v="Bueno"/>
  </r>
  <r>
    <d v="2020-03-10T00:00:00"/>
    <n v="4353"/>
    <x v="2"/>
    <n v="39"/>
    <n v="39.828000000000003"/>
    <x v="1"/>
    <x v="8"/>
    <x v="1"/>
    <x v="3"/>
    <x v="1"/>
    <n v="3"/>
    <n v="1"/>
    <n v="1553.2920000000001"/>
    <x v="1"/>
    <x v="0"/>
    <s v="Regular"/>
  </r>
  <r>
    <d v="2020-04-25T00:00:00"/>
    <n v="4225"/>
    <x v="6"/>
    <n v="163"/>
    <n v="183.88800000000001"/>
    <x v="1"/>
    <x v="9"/>
    <x v="1"/>
    <x v="2"/>
    <x v="2"/>
    <n v="3"/>
    <n v="0"/>
    <n v="29973.744000000002"/>
    <x v="1"/>
    <x v="1"/>
    <s v="Regular"/>
  </r>
  <r>
    <d v="2020-07-21T00:00:00"/>
    <n v="4782"/>
    <x v="0"/>
    <n v="117"/>
    <n v="197.49600000000001"/>
    <x v="0"/>
    <x v="0"/>
    <x v="2"/>
    <x v="0"/>
    <x v="3"/>
    <n v="7"/>
    <n v="0"/>
    <n v="23107.032000000003"/>
    <x v="0"/>
    <x v="1"/>
    <s v="Bueno"/>
  </r>
  <r>
    <d v="2020-12-15T00:00:00"/>
    <n v="4545"/>
    <x v="1"/>
    <n v="202"/>
    <n v="47.015999999999998"/>
    <x v="0"/>
    <x v="1"/>
    <x v="1"/>
    <x v="2"/>
    <x v="1"/>
    <n v="10"/>
    <n v="0"/>
    <n v="9497.232"/>
    <x v="0"/>
    <x v="1"/>
    <s v="Excelente"/>
  </r>
  <r>
    <d v="2020-02-11T00:00:00"/>
    <n v="4797"/>
    <x v="0"/>
    <n v="189"/>
    <n v="22.248000000000001"/>
    <x v="0"/>
    <x v="2"/>
    <x v="2"/>
    <x v="3"/>
    <x v="1"/>
    <n v="7"/>
    <n v="1"/>
    <n v="4204.8720000000003"/>
    <x v="0"/>
    <x v="0"/>
    <s v="Bueno"/>
  </r>
  <r>
    <d v="2020-08-29T00:00:00"/>
    <n v="4610"/>
    <x v="6"/>
    <n v="119"/>
    <n v="232.90800000000002"/>
    <x v="1"/>
    <x v="3"/>
    <x v="1"/>
    <x v="2"/>
    <x v="3"/>
    <n v="10"/>
    <n v="0"/>
    <n v="27716.052000000003"/>
    <x v="1"/>
    <x v="1"/>
    <s v="Excelente"/>
  </r>
  <r>
    <d v="2020-10-04T00:00:00"/>
    <n v="4550"/>
    <x v="7"/>
    <n v="15"/>
    <n v="135.42000000000002"/>
    <x v="1"/>
    <x v="4"/>
    <x v="1"/>
    <x v="2"/>
    <x v="3"/>
    <n v="10"/>
    <n v="0"/>
    <n v="2031.3000000000002"/>
    <x v="1"/>
    <x v="1"/>
    <s v="Excelente"/>
  </r>
  <r>
    <d v="2020-02-19T00:00:00"/>
    <n v="4661"/>
    <x v="2"/>
    <n v="104"/>
    <n v="15.552"/>
    <x v="1"/>
    <x v="5"/>
    <x v="1"/>
    <x v="4"/>
    <x v="1"/>
    <n v="10"/>
    <n v="1"/>
    <n v="1617.4079999999999"/>
    <x v="1"/>
    <x v="0"/>
    <s v="Excelente"/>
  </r>
  <r>
    <d v="2020-05-21T00:00:00"/>
    <n v="4720"/>
    <x v="5"/>
    <n v="19"/>
    <n v="190.96800000000002"/>
    <x v="0"/>
    <x v="6"/>
    <x v="3"/>
    <x v="0"/>
    <x v="3"/>
    <n v="10"/>
    <n v="0"/>
    <n v="3628.3920000000003"/>
    <x v="0"/>
    <x v="1"/>
    <s v="Excelente"/>
  </r>
  <r>
    <d v="2020-04-07T00:00:00"/>
    <n v="4653"/>
    <x v="4"/>
    <n v="223"/>
    <n v="123.54"/>
    <x v="0"/>
    <x v="7"/>
    <x v="1"/>
    <x v="3"/>
    <x v="1"/>
    <n v="10"/>
    <n v="1"/>
    <n v="27549.420000000002"/>
    <x v="0"/>
    <x v="0"/>
    <s v="Excelente"/>
  </r>
  <r>
    <d v="2020-02-22T00:00:00"/>
    <n v="4362"/>
    <x v="9"/>
    <n v="229"/>
    <n v="155.53200000000001"/>
    <x v="1"/>
    <x v="8"/>
    <x v="1"/>
    <x v="0"/>
    <x v="3"/>
    <n v="2"/>
    <n v="1"/>
    <n v="35616.828000000001"/>
    <x v="1"/>
    <x v="0"/>
    <s v="Regular"/>
  </r>
  <r>
    <d v="2020-12-27T00:00:00"/>
    <n v="5018"/>
    <x v="1"/>
    <n v="148"/>
    <n v="120.19200000000001"/>
    <x v="1"/>
    <x v="9"/>
    <x v="5"/>
    <x v="0"/>
    <x v="0"/>
    <n v="6"/>
    <n v="1"/>
    <n v="17788.416000000001"/>
    <x v="1"/>
    <x v="0"/>
    <s v="Bueno"/>
  </r>
  <r>
    <d v="2020-01-04T00:00:00"/>
    <n v="4616"/>
    <x v="7"/>
    <n v="113"/>
    <n v="67.992000000000004"/>
    <x v="1"/>
    <x v="0"/>
    <x v="1"/>
    <x v="4"/>
    <x v="3"/>
    <n v="10"/>
    <n v="1"/>
    <n v="7683.0960000000005"/>
    <x v="1"/>
    <x v="0"/>
    <s v="Excelente"/>
  </r>
  <r>
    <d v="2020-12-10T00:00:00"/>
    <n v="4188"/>
    <x v="2"/>
    <n v="61"/>
    <n v="136.56"/>
    <x v="1"/>
    <x v="1"/>
    <x v="1"/>
    <x v="3"/>
    <x v="4"/>
    <n v="7"/>
    <n v="1"/>
    <n v="8330.16"/>
    <x v="1"/>
    <x v="0"/>
    <s v="Bueno"/>
  </r>
  <r>
    <d v="2020-01-01T00:00:00"/>
    <n v="4490"/>
    <x v="1"/>
    <n v="204"/>
    <n v="44.375999999999998"/>
    <x v="0"/>
    <x v="2"/>
    <x v="1"/>
    <x v="2"/>
    <x v="3"/>
    <n v="3"/>
    <n v="0"/>
    <n v="9052.7039999999997"/>
    <x v="0"/>
    <x v="1"/>
    <s v="Regular"/>
  </r>
  <r>
    <d v="2020-08-17T00:00:00"/>
    <n v="4729"/>
    <x v="5"/>
    <n v="123"/>
    <n v="232.36799999999999"/>
    <x v="1"/>
    <x v="3"/>
    <x v="7"/>
    <x v="3"/>
    <x v="1"/>
    <n v="10"/>
    <n v="0"/>
    <n v="28581.263999999999"/>
    <x v="1"/>
    <x v="1"/>
    <s v="Excelente"/>
  </r>
  <r>
    <d v="2020-03-12T00:00:00"/>
    <n v="4630"/>
    <x v="8"/>
    <n v="92"/>
    <n v="233.256"/>
    <x v="0"/>
    <x v="4"/>
    <x v="1"/>
    <x v="2"/>
    <x v="3"/>
    <n v="10"/>
    <n v="0"/>
    <n v="21459.552"/>
    <x v="0"/>
    <x v="1"/>
    <s v="Excelente"/>
  </r>
  <r>
    <d v="2020-12-10T00:00:00"/>
    <n v="4649"/>
    <x v="7"/>
    <n v="3"/>
    <n v="56.603999999999999"/>
    <x v="1"/>
    <x v="5"/>
    <x v="1"/>
    <x v="1"/>
    <x v="1"/>
    <n v="10"/>
    <n v="1"/>
    <n v="169.81200000000001"/>
    <x v="1"/>
    <x v="0"/>
    <s v="Excelente"/>
  </r>
  <r>
    <d v="2020-01-17T00:00:00"/>
    <n v="4176"/>
    <x v="7"/>
    <n v="42"/>
    <n v="110.16"/>
    <x v="0"/>
    <x v="6"/>
    <x v="1"/>
    <x v="4"/>
    <x v="4"/>
    <n v="1"/>
    <n v="0"/>
    <n v="4626.72"/>
    <x v="0"/>
    <x v="1"/>
    <s v="Regular"/>
  </r>
  <r>
    <d v="2020-09-09T00:00:00"/>
    <n v="4231"/>
    <x v="7"/>
    <n v="211"/>
    <n v="111.84"/>
    <x v="0"/>
    <x v="7"/>
    <x v="1"/>
    <x v="4"/>
    <x v="2"/>
    <n v="5"/>
    <n v="0"/>
    <n v="23598.240000000002"/>
    <x v="0"/>
    <x v="1"/>
    <s v="Bueno"/>
  </r>
  <r>
    <d v="2020-03-15T00:00:00"/>
    <n v="4846"/>
    <x v="2"/>
    <n v="5"/>
    <n v="54.372"/>
    <x v="1"/>
    <x v="8"/>
    <x v="4"/>
    <x v="0"/>
    <x v="3"/>
    <n v="1"/>
    <n v="1"/>
    <n v="271.86"/>
    <x v="1"/>
    <x v="0"/>
    <s v="Regular"/>
  </r>
  <r>
    <d v="2020-04-27T00:00:00"/>
    <n v="4317"/>
    <x v="10"/>
    <n v="75"/>
    <n v="139.64400000000001"/>
    <x v="0"/>
    <x v="9"/>
    <x v="1"/>
    <x v="0"/>
    <x v="1"/>
    <n v="8"/>
    <n v="0"/>
    <n v="10473.300000000001"/>
    <x v="0"/>
    <x v="1"/>
    <s v="Bueno"/>
  </r>
  <r>
    <d v="2020-09-16T00:00:00"/>
    <n v="4618"/>
    <x v="0"/>
    <n v="185"/>
    <n v="32.4"/>
    <x v="0"/>
    <x v="0"/>
    <x v="1"/>
    <x v="3"/>
    <x v="3"/>
    <n v="10"/>
    <n v="0"/>
    <n v="5994"/>
    <x v="0"/>
    <x v="1"/>
    <s v="Excelente"/>
  </r>
  <r>
    <d v="2020-07-23T00:00:00"/>
    <n v="4333"/>
    <x v="8"/>
    <n v="40"/>
    <n v="117.684"/>
    <x v="0"/>
    <x v="1"/>
    <x v="1"/>
    <x v="3"/>
    <x v="1"/>
    <n v="10"/>
    <n v="1"/>
    <n v="4707.3599999999997"/>
    <x v="0"/>
    <x v="0"/>
    <s v="Excelente"/>
  </r>
  <r>
    <d v="2020-05-15T00:00:00"/>
    <n v="4831"/>
    <x v="2"/>
    <n v="30"/>
    <n v="195.864"/>
    <x v="1"/>
    <x v="2"/>
    <x v="4"/>
    <x v="3"/>
    <x v="1"/>
    <n v="2"/>
    <n v="1"/>
    <n v="5875.92"/>
    <x v="1"/>
    <x v="0"/>
    <s v="Regular"/>
  </r>
  <r>
    <d v="2020-04-08T00:00:00"/>
    <n v="4285"/>
    <x v="9"/>
    <n v="167"/>
    <n v="153.15600000000001"/>
    <x v="1"/>
    <x v="3"/>
    <x v="1"/>
    <x v="2"/>
    <x v="2"/>
    <n v="2"/>
    <n v="0"/>
    <n v="25577.052"/>
    <x v="1"/>
    <x v="1"/>
    <s v="Regular"/>
  </r>
  <r>
    <d v="2020-11-14T00:00:00"/>
    <n v="4730"/>
    <x v="3"/>
    <n v="130"/>
    <n v="147"/>
    <x v="1"/>
    <x v="4"/>
    <x v="3"/>
    <x v="0"/>
    <x v="3"/>
    <n v="7"/>
    <n v="0"/>
    <n v="19110"/>
    <x v="1"/>
    <x v="1"/>
    <s v="Bueno"/>
  </r>
  <r>
    <d v="2020-06-11T00:00:00"/>
    <n v="4662"/>
    <x v="0"/>
    <n v="148"/>
    <n v="148.476"/>
    <x v="0"/>
    <x v="5"/>
    <x v="1"/>
    <x v="0"/>
    <x v="3"/>
    <n v="10"/>
    <n v="1"/>
    <n v="21974.448"/>
    <x v="0"/>
    <x v="0"/>
    <s v="Excelente"/>
  </r>
  <r>
    <d v="2020-09-04T00:00:00"/>
    <n v="4709"/>
    <x v="3"/>
    <n v="152"/>
    <n v="91.427999999999997"/>
    <x v="1"/>
    <x v="6"/>
    <x v="7"/>
    <x v="3"/>
    <x v="1"/>
    <n v="10"/>
    <n v="0"/>
    <n v="13897.056"/>
    <x v="1"/>
    <x v="1"/>
    <s v="Excelente"/>
  </r>
  <r>
    <d v="2020-04-07T00:00:00"/>
    <n v="4547"/>
    <x v="3"/>
    <n v="25"/>
    <n v="133.44"/>
    <x v="0"/>
    <x v="7"/>
    <x v="1"/>
    <x v="0"/>
    <x v="1"/>
    <n v="10"/>
    <n v="1"/>
    <n v="3336"/>
    <x v="0"/>
    <x v="0"/>
    <s v="Excelente"/>
  </r>
  <r>
    <d v="2020-01-26T00:00:00"/>
    <n v="4489"/>
    <x v="6"/>
    <n v="36"/>
    <n v="4.8360000000000003"/>
    <x v="0"/>
    <x v="8"/>
    <x v="1"/>
    <x v="1"/>
    <x v="1"/>
    <n v="9"/>
    <n v="1"/>
    <n v="174.096"/>
    <x v="0"/>
    <x v="0"/>
    <s v="Excelente"/>
  </r>
  <r>
    <d v="2020-02-22T00:00:00"/>
    <n v="5003"/>
    <x v="1"/>
    <n v="109"/>
    <n v="154.584"/>
    <x v="0"/>
    <x v="9"/>
    <x v="5"/>
    <x v="3"/>
    <x v="4"/>
    <n v="6"/>
    <n v="0"/>
    <n v="16849.655999999999"/>
    <x v="0"/>
    <x v="1"/>
    <s v="Bueno"/>
  </r>
  <r>
    <d v="2020-06-17T00:00:00"/>
    <n v="5042"/>
    <x v="1"/>
    <n v="176"/>
    <n v="109.30800000000001"/>
    <x v="1"/>
    <x v="0"/>
    <x v="0"/>
    <x v="0"/>
    <x v="0"/>
    <n v="7"/>
    <n v="1"/>
    <n v="19238.208000000002"/>
    <x v="1"/>
    <x v="0"/>
    <s v="Bueno"/>
  </r>
  <r>
    <d v="2020-11-21T00:00:00"/>
    <n v="4323"/>
    <x v="4"/>
    <n v="132"/>
    <n v="163.00800000000001"/>
    <x v="1"/>
    <x v="1"/>
    <x v="1"/>
    <x v="3"/>
    <x v="1"/>
    <n v="1"/>
    <n v="0"/>
    <n v="21517.056"/>
    <x v="1"/>
    <x v="1"/>
    <s v="Regular"/>
  </r>
  <r>
    <d v="2020-05-18T00:00:00"/>
    <n v="4236"/>
    <x v="6"/>
    <n v="193"/>
    <n v="182.904"/>
    <x v="1"/>
    <x v="2"/>
    <x v="1"/>
    <x v="4"/>
    <x v="4"/>
    <n v="7"/>
    <n v="0"/>
    <n v="35300.472000000002"/>
    <x v="1"/>
    <x v="1"/>
    <s v="Bueno"/>
  </r>
  <r>
    <d v="2020-08-16T00:00:00"/>
    <n v="4571"/>
    <x v="9"/>
    <n v="201"/>
    <n v="109.33200000000001"/>
    <x v="0"/>
    <x v="3"/>
    <x v="1"/>
    <x v="4"/>
    <x v="1"/>
    <n v="10"/>
    <n v="1"/>
    <n v="21975.732"/>
    <x v="0"/>
    <x v="0"/>
    <s v="Excelente"/>
  </r>
  <r>
    <d v="2020-01-21T00:00:00"/>
    <n v="4897"/>
    <x v="2"/>
    <n v="197"/>
    <n v="54.660000000000004"/>
    <x v="0"/>
    <x v="4"/>
    <x v="2"/>
    <x v="3"/>
    <x v="1"/>
    <n v="6"/>
    <n v="0"/>
    <n v="10768.02"/>
    <x v="0"/>
    <x v="1"/>
    <s v="Bueno"/>
  </r>
  <r>
    <d v="2020-12-19T00:00:00"/>
    <n v="4864"/>
    <x v="2"/>
    <n v="83"/>
    <n v="151.12800000000001"/>
    <x v="0"/>
    <x v="5"/>
    <x v="7"/>
    <x v="0"/>
    <x v="3"/>
    <n v="6"/>
    <n v="1"/>
    <n v="12543.624000000002"/>
    <x v="0"/>
    <x v="0"/>
    <s v="Bueno"/>
  </r>
  <r>
    <d v="2020-06-24T00:00:00"/>
    <n v="4534"/>
    <x v="1"/>
    <n v="99"/>
    <n v="181.68"/>
    <x v="1"/>
    <x v="6"/>
    <x v="1"/>
    <x v="1"/>
    <x v="3"/>
    <n v="10"/>
    <n v="1"/>
    <n v="17986.32"/>
    <x v="1"/>
    <x v="0"/>
    <s v="Excelente"/>
  </r>
  <r>
    <d v="2020-06-18T00:00:00"/>
    <n v="4406"/>
    <x v="9"/>
    <n v="200"/>
    <n v="118.584"/>
    <x v="1"/>
    <x v="7"/>
    <x v="1"/>
    <x v="4"/>
    <x v="3"/>
    <n v="6"/>
    <n v="0"/>
    <n v="23716.799999999999"/>
    <x v="1"/>
    <x v="1"/>
    <s v="Bueno"/>
  </r>
  <r>
    <d v="2020-08-18T00:00:00"/>
    <n v="4239"/>
    <x v="3"/>
    <n v="93"/>
    <n v="215.46"/>
    <x v="1"/>
    <x v="8"/>
    <x v="1"/>
    <x v="1"/>
    <x v="1"/>
    <n v="3"/>
    <n v="1"/>
    <n v="20037.780000000002"/>
    <x v="1"/>
    <x v="0"/>
    <s v="Regular"/>
  </r>
  <r>
    <d v="2020-06-20T00:00:00"/>
    <n v="4585"/>
    <x v="0"/>
    <n v="107"/>
    <n v="78.156000000000006"/>
    <x v="1"/>
    <x v="9"/>
    <x v="1"/>
    <x v="2"/>
    <x v="1"/>
    <n v="10"/>
    <n v="1"/>
    <n v="8362.6920000000009"/>
    <x v="1"/>
    <x v="0"/>
    <s v="Excelente"/>
  </r>
  <r>
    <d v="2020-10-05T00:00:00"/>
    <n v="4583"/>
    <x v="7"/>
    <n v="228"/>
    <n v="20.46"/>
    <x v="1"/>
    <x v="0"/>
    <x v="1"/>
    <x v="3"/>
    <x v="1"/>
    <n v="10"/>
    <n v="1"/>
    <n v="4664.88"/>
    <x v="1"/>
    <x v="0"/>
    <s v="Excelente"/>
  </r>
  <r>
    <d v="2020-08-02T00:00:00"/>
    <n v="5039"/>
    <x v="1"/>
    <n v="29"/>
    <n v="61.74"/>
    <x v="1"/>
    <x v="1"/>
    <x v="6"/>
    <x v="3"/>
    <x v="4"/>
    <n v="7"/>
    <n v="1"/>
    <n v="1790.46"/>
    <x v="1"/>
    <x v="0"/>
    <s v="Bueno"/>
  </r>
  <r>
    <d v="2020-10-22T00:00:00"/>
    <n v="4770"/>
    <x v="0"/>
    <n v="92"/>
    <n v="23.076000000000001"/>
    <x v="0"/>
    <x v="2"/>
    <x v="3"/>
    <x v="0"/>
    <x v="3"/>
    <n v="7"/>
    <n v="1"/>
    <n v="2122.9920000000002"/>
    <x v="0"/>
    <x v="0"/>
    <s v="Bueno"/>
  </r>
  <r>
    <d v="2020-08-25T00:00:00"/>
    <n v="4755"/>
    <x v="7"/>
    <n v="157"/>
    <n v="2.1720000000000002"/>
    <x v="1"/>
    <x v="3"/>
    <x v="3"/>
    <x v="3"/>
    <x v="1"/>
    <n v="7"/>
    <n v="1"/>
    <n v="341.00400000000002"/>
    <x v="1"/>
    <x v="0"/>
    <s v="Bueno"/>
  </r>
  <r>
    <d v="2020-11-28T00:00:00"/>
    <n v="4958"/>
    <x v="1"/>
    <n v="121"/>
    <n v="37.884"/>
    <x v="0"/>
    <x v="4"/>
    <x v="5"/>
    <x v="0"/>
    <x v="0"/>
    <n v="6"/>
    <n v="0"/>
    <n v="4583.9639999999999"/>
    <x v="0"/>
    <x v="1"/>
    <s v="Bueno"/>
  </r>
  <r>
    <d v="2020-08-21T00:00:00"/>
    <n v="4279"/>
    <x v="4"/>
    <n v="13"/>
    <n v="84.072000000000003"/>
    <x v="1"/>
    <x v="5"/>
    <x v="1"/>
    <x v="1"/>
    <x v="2"/>
    <n v="1"/>
    <n v="1"/>
    <n v="1092.9360000000001"/>
    <x v="1"/>
    <x v="0"/>
    <s v="Regular"/>
  </r>
  <r>
    <d v="2020-12-10T00:00:00"/>
    <n v="4676"/>
    <x v="6"/>
    <n v="205"/>
    <n v="116.42400000000001"/>
    <x v="1"/>
    <x v="6"/>
    <x v="1"/>
    <x v="4"/>
    <x v="3"/>
    <n v="10"/>
    <n v="0"/>
    <n v="23866.920000000002"/>
    <x v="1"/>
    <x v="1"/>
    <s v="Excelente"/>
  </r>
  <r>
    <d v="2020-10-01T00:00:00"/>
    <n v="4563"/>
    <x v="0"/>
    <n v="25"/>
    <n v="142.428"/>
    <x v="0"/>
    <x v="7"/>
    <x v="1"/>
    <x v="3"/>
    <x v="1"/>
    <n v="10"/>
    <n v="0"/>
    <n v="3560.7"/>
    <x v="0"/>
    <x v="1"/>
    <s v="Excelente"/>
  </r>
  <r>
    <d v="2020-04-04T00:00:00"/>
    <n v="4312"/>
    <x v="4"/>
    <n v="171"/>
    <n v="153.94800000000001"/>
    <x v="0"/>
    <x v="8"/>
    <x v="1"/>
    <x v="0"/>
    <x v="3"/>
    <n v="7"/>
    <n v="1"/>
    <n v="26325.108"/>
    <x v="0"/>
    <x v="0"/>
    <s v="Bueno"/>
  </r>
  <r>
    <d v="2020-10-12T00:00:00"/>
    <n v="4947"/>
    <x v="0"/>
    <n v="95"/>
    <n v="99.396000000000001"/>
    <x v="0"/>
    <x v="9"/>
    <x v="2"/>
    <x v="3"/>
    <x v="1"/>
    <n v="6"/>
    <n v="0"/>
    <n v="9442.6200000000008"/>
    <x v="0"/>
    <x v="1"/>
    <s v="Bueno"/>
  </r>
  <r>
    <d v="2020-04-29T00:00:00"/>
    <n v="4596"/>
    <x v="0"/>
    <n v="65"/>
    <n v="166.92000000000002"/>
    <x v="0"/>
    <x v="0"/>
    <x v="1"/>
    <x v="4"/>
    <x v="3"/>
    <n v="10"/>
    <n v="1"/>
    <n v="10849.800000000001"/>
    <x v="0"/>
    <x v="0"/>
    <s v="Excelente"/>
  </r>
  <r>
    <d v="2020-09-18T00:00:00"/>
    <n v="4512"/>
    <x v="1"/>
    <n v="219"/>
    <n v="88.2"/>
    <x v="1"/>
    <x v="1"/>
    <x v="1"/>
    <x v="0"/>
    <x v="3"/>
    <n v="1"/>
    <n v="0"/>
    <n v="19315.8"/>
    <x v="1"/>
    <x v="1"/>
    <s v="Regular"/>
  </r>
  <r>
    <d v="2020-05-06T00:00:00"/>
    <n v="4869"/>
    <x v="0"/>
    <n v="77"/>
    <n v="184.29599999999999"/>
    <x v="1"/>
    <x v="2"/>
    <x v="7"/>
    <x v="3"/>
    <x v="1"/>
    <n v="6"/>
    <n v="0"/>
    <n v="14190.791999999999"/>
    <x v="1"/>
    <x v="1"/>
    <s v="Bueno"/>
  </r>
  <r>
    <d v="2020-08-18T00:00:00"/>
    <n v="4519"/>
    <x v="0"/>
    <n v="166"/>
    <n v="10.295999999999999"/>
    <x v="0"/>
    <x v="3"/>
    <x v="1"/>
    <x v="1"/>
    <x v="1"/>
    <n v="8"/>
    <n v="0"/>
    <n v="1709.136"/>
    <x v="0"/>
    <x v="1"/>
    <s v="Bueno"/>
  </r>
  <r>
    <d v="2020-07-20T00:00:00"/>
    <n v="4420"/>
    <x v="0"/>
    <n v="95"/>
    <n v="20.94"/>
    <x v="1"/>
    <x v="4"/>
    <x v="1"/>
    <x v="2"/>
    <x v="3"/>
    <n v="2"/>
    <n v="1"/>
    <n v="1989.3000000000002"/>
    <x v="1"/>
    <x v="0"/>
    <s v="Regular"/>
  </r>
  <r>
    <d v="2020-11-22T00:00:00"/>
    <n v="4966"/>
    <x v="2"/>
    <n v="137"/>
    <n v="65.495999999999995"/>
    <x v="1"/>
    <x v="5"/>
    <x v="4"/>
    <x v="0"/>
    <x v="0"/>
    <n v="6"/>
    <n v="0"/>
    <n v="8972.9519999999993"/>
    <x v="1"/>
    <x v="1"/>
    <s v="Bueno"/>
  </r>
  <r>
    <d v="2020-02-10T00:00:00"/>
    <n v="4942"/>
    <x v="2"/>
    <n v="22"/>
    <n v="17.868000000000002"/>
    <x v="0"/>
    <x v="6"/>
    <x v="2"/>
    <x v="0"/>
    <x v="3"/>
    <n v="6"/>
    <n v="0"/>
    <n v="393.09600000000006"/>
    <x v="0"/>
    <x v="1"/>
    <s v="Bueno"/>
  </r>
  <r>
    <d v="2020-06-14T00:00:00"/>
    <n v="4687"/>
    <x v="5"/>
    <n v="136"/>
    <n v="183.93600000000001"/>
    <x v="0"/>
    <x v="7"/>
    <x v="2"/>
    <x v="0"/>
    <x v="1"/>
    <n v="10"/>
    <n v="1"/>
    <n v="25015.296000000002"/>
    <x v="0"/>
    <x v="0"/>
    <s v="Excelente"/>
  </r>
  <r>
    <d v="2020-04-07T00:00:00"/>
    <n v="4555"/>
    <x v="6"/>
    <n v="26"/>
    <n v="137.04"/>
    <x v="0"/>
    <x v="8"/>
    <x v="1"/>
    <x v="2"/>
    <x v="1"/>
    <n v="10"/>
    <n v="0"/>
    <n v="3563.04"/>
    <x v="0"/>
    <x v="1"/>
    <s v="Excelente"/>
  </r>
  <r>
    <d v="2020-03-29T00:00:00"/>
    <n v="4902"/>
    <x v="0"/>
    <n v="70"/>
    <n v="25.2"/>
    <x v="0"/>
    <x v="9"/>
    <x v="2"/>
    <x v="0"/>
    <x v="3"/>
    <n v="6"/>
    <n v="0"/>
    <n v="1764"/>
    <x v="0"/>
    <x v="1"/>
    <s v="Bueno"/>
  </r>
  <r>
    <d v="2020-04-23T00:00:00"/>
    <n v="4623"/>
    <x v="5"/>
    <n v="74"/>
    <n v="107.004"/>
    <x v="0"/>
    <x v="0"/>
    <x v="1"/>
    <x v="3"/>
    <x v="1"/>
    <n v="10"/>
    <n v="1"/>
    <n v="7918.2960000000003"/>
    <x v="0"/>
    <x v="0"/>
    <s v="Excelente"/>
  </r>
  <r>
    <d v="2020-12-23T00:00:00"/>
    <n v="4232"/>
    <x v="2"/>
    <n v="208"/>
    <n v="178.428"/>
    <x v="0"/>
    <x v="1"/>
    <x v="1"/>
    <x v="0"/>
    <x v="3"/>
    <n v="3"/>
    <n v="1"/>
    <n v="37113.023999999998"/>
    <x v="0"/>
    <x v="0"/>
    <s v="Regular"/>
  </r>
  <r>
    <d v="2020-09-29T00:00:00"/>
    <n v="4303"/>
    <x v="1"/>
    <n v="63"/>
    <n v="95.64"/>
    <x v="0"/>
    <x v="2"/>
    <x v="1"/>
    <x v="3"/>
    <x v="2"/>
    <n v="10"/>
    <n v="0"/>
    <n v="6025.32"/>
    <x v="0"/>
    <x v="1"/>
    <s v="Excelente"/>
  </r>
  <r>
    <d v="2020-01-05T00:00:00"/>
    <n v="4296"/>
    <x v="9"/>
    <n v="221"/>
    <n v="216.6"/>
    <x v="1"/>
    <x v="3"/>
    <x v="1"/>
    <x v="4"/>
    <x v="4"/>
    <n v="8"/>
    <n v="1"/>
    <n v="47868.6"/>
    <x v="1"/>
    <x v="0"/>
    <s v="Bueno"/>
  </r>
  <r>
    <d v="2020-06-29T00:00:00"/>
    <n v="4940"/>
    <x v="1"/>
    <n v="219"/>
    <n v="156.672"/>
    <x v="0"/>
    <x v="4"/>
    <x v="3"/>
    <x v="0"/>
    <x v="3"/>
    <n v="6"/>
    <n v="0"/>
    <n v="34311.167999999998"/>
    <x v="0"/>
    <x v="1"/>
    <s v="Bueno"/>
  </r>
  <r>
    <d v="2020-04-02T00:00:00"/>
    <n v="4828"/>
    <x v="2"/>
    <n v="34"/>
    <n v="17.748000000000001"/>
    <x v="1"/>
    <x v="5"/>
    <x v="5"/>
    <x v="0"/>
    <x v="3"/>
    <n v="2"/>
    <n v="1"/>
    <n v="603.43200000000002"/>
    <x v="1"/>
    <x v="0"/>
    <s v="Regular"/>
  </r>
  <r>
    <d v="2020-11-25T00:00:00"/>
    <n v="4887"/>
    <x v="0"/>
    <n v="80"/>
    <n v="190.08"/>
    <x v="1"/>
    <x v="6"/>
    <x v="2"/>
    <x v="3"/>
    <x v="1"/>
    <n v="6"/>
    <n v="0"/>
    <n v="15206.400000000001"/>
    <x v="1"/>
    <x v="1"/>
    <s v="Bueno"/>
  </r>
  <r>
    <d v="2020-03-01T00:00:00"/>
    <n v="4400"/>
    <x v="4"/>
    <n v="129"/>
    <n v="52.14"/>
    <x v="1"/>
    <x v="7"/>
    <x v="1"/>
    <x v="2"/>
    <x v="3"/>
    <n v="8"/>
    <n v="1"/>
    <n v="6726.06"/>
    <x v="1"/>
    <x v="0"/>
    <s v="Bueno"/>
  </r>
  <r>
    <d v="2020-07-12T00:00:00"/>
    <n v="4494"/>
    <x v="9"/>
    <n v="169"/>
    <n v="189.864"/>
    <x v="1"/>
    <x v="8"/>
    <x v="1"/>
    <x v="1"/>
    <x v="3"/>
    <n v="7"/>
    <n v="1"/>
    <n v="32087.016"/>
    <x v="1"/>
    <x v="0"/>
    <s v="Bueno"/>
  </r>
  <r>
    <d v="2020-06-21T00:00:00"/>
    <n v="4204"/>
    <x v="1"/>
    <n v="182"/>
    <n v="146.50800000000001"/>
    <x v="1"/>
    <x v="9"/>
    <x v="1"/>
    <x v="1"/>
    <x v="5"/>
    <n v="4"/>
    <n v="1"/>
    <n v="26664.456000000002"/>
    <x v="1"/>
    <x v="0"/>
    <s v="Regular"/>
  </r>
  <r>
    <d v="2020-02-21T00:00:00"/>
    <n v="4283"/>
    <x v="3"/>
    <n v="14"/>
    <n v="192.804"/>
    <x v="0"/>
    <x v="0"/>
    <x v="1"/>
    <x v="3"/>
    <x v="0"/>
    <n v="9"/>
    <n v="0"/>
    <n v="2699.2559999999999"/>
    <x v="0"/>
    <x v="1"/>
    <s v="Excelente"/>
  </r>
  <r>
    <d v="2020-11-16T00:00:00"/>
    <n v="4387"/>
    <x v="0"/>
    <n v="122"/>
    <n v="108.18"/>
    <x v="0"/>
    <x v="1"/>
    <x v="1"/>
    <x v="0"/>
    <x v="1"/>
    <n v="9"/>
    <n v="1"/>
    <n v="13197.960000000001"/>
    <x v="0"/>
    <x v="0"/>
    <s v="Excelente"/>
  </r>
  <r>
    <d v="2020-04-23T00:00:00"/>
    <n v="4486"/>
    <x v="0"/>
    <n v="195"/>
    <n v="164.196"/>
    <x v="1"/>
    <x v="2"/>
    <x v="1"/>
    <x v="4"/>
    <x v="3"/>
    <n v="8"/>
    <n v="0"/>
    <n v="32018.22"/>
    <x v="1"/>
    <x v="1"/>
    <s v="Bueno"/>
  </r>
  <r>
    <d v="2020-11-07T00:00:00"/>
    <n v="4600"/>
    <x v="1"/>
    <n v="17"/>
    <n v="160.02000000000001"/>
    <x v="0"/>
    <x v="3"/>
    <x v="1"/>
    <x v="2"/>
    <x v="3"/>
    <n v="10"/>
    <n v="0"/>
    <n v="2720.34"/>
    <x v="0"/>
    <x v="1"/>
    <s v="Excelente"/>
  </r>
  <r>
    <d v="2020-06-05T00:00:00"/>
    <n v="4873"/>
    <x v="2"/>
    <n v="224"/>
    <n v="204.46800000000002"/>
    <x v="0"/>
    <x v="4"/>
    <x v="5"/>
    <x v="3"/>
    <x v="1"/>
    <n v="6"/>
    <n v="0"/>
    <n v="45800.832000000002"/>
    <x v="0"/>
    <x v="1"/>
    <s v="Bueno"/>
  </r>
  <r>
    <d v="2020-06-14T00:00:00"/>
    <n v="4965"/>
    <x v="0"/>
    <n v="10"/>
    <n v="96.216000000000008"/>
    <x v="0"/>
    <x v="5"/>
    <x v="3"/>
    <x v="3"/>
    <x v="4"/>
    <n v="6"/>
    <n v="0"/>
    <n v="962.16000000000008"/>
    <x v="0"/>
    <x v="1"/>
    <s v="Bueno"/>
  </r>
  <r>
    <d v="2020-03-04T00:00:00"/>
    <n v="4712"/>
    <x v="3"/>
    <n v="157"/>
    <n v="199.68"/>
    <x v="0"/>
    <x v="6"/>
    <x v="2"/>
    <x v="0"/>
    <x v="3"/>
    <n v="10"/>
    <n v="0"/>
    <n v="31349.760000000002"/>
    <x v="0"/>
    <x v="1"/>
    <s v="Excelente"/>
  </r>
  <r>
    <d v="2020-04-17T00:00:00"/>
    <n v="4983"/>
    <x v="0"/>
    <n v="180"/>
    <n v="101.47200000000001"/>
    <x v="1"/>
    <x v="7"/>
    <x v="5"/>
    <x v="3"/>
    <x v="4"/>
    <n v="6"/>
    <n v="0"/>
    <n v="18264.960000000003"/>
    <x v="1"/>
    <x v="1"/>
    <s v="Bueno"/>
  </r>
  <r>
    <d v="2020-01-02T00:00:00"/>
    <n v="4199"/>
    <x v="2"/>
    <n v="31"/>
    <n v="56.603999999999999"/>
    <x v="0"/>
    <x v="8"/>
    <x v="1"/>
    <x v="1"/>
    <x v="0"/>
    <n v="9"/>
    <n v="1"/>
    <n v="1754.7239999999999"/>
    <x v="0"/>
    <x v="0"/>
    <s v="Excelente"/>
  </r>
  <r>
    <d v="2020-08-29T00:00:00"/>
    <n v="4218"/>
    <x v="10"/>
    <n v="152"/>
    <n v="13.812000000000001"/>
    <x v="0"/>
    <x v="9"/>
    <x v="1"/>
    <x v="3"/>
    <x v="4"/>
    <n v="3"/>
    <n v="0"/>
    <n v="2099.424"/>
    <x v="0"/>
    <x v="1"/>
    <s v="Regular"/>
  </r>
  <r>
    <d v="2020-11-26T00:00:00"/>
    <n v="4632"/>
    <x v="6"/>
    <n v="9"/>
    <n v="198.6"/>
    <x v="0"/>
    <x v="0"/>
    <x v="1"/>
    <x v="0"/>
    <x v="3"/>
    <n v="10"/>
    <n v="0"/>
    <n v="1787.3999999999999"/>
    <x v="0"/>
    <x v="1"/>
    <s v="Excelente"/>
  </r>
  <r>
    <d v="2020-08-19T00:00:00"/>
    <n v="5007"/>
    <x v="0"/>
    <n v="77"/>
    <n v="119.42400000000001"/>
    <x v="0"/>
    <x v="1"/>
    <x v="2"/>
    <x v="3"/>
    <x v="4"/>
    <n v="6"/>
    <n v="0"/>
    <n v="9195.648000000001"/>
    <x v="0"/>
    <x v="1"/>
    <s v="Bueno"/>
  </r>
  <r>
    <d v="2020-11-01T00:00:00"/>
    <n v="4414"/>
    <x v="5"/>
    <n v="206"/>
    <n v="48.756"/>
    <x v="1"/>
    <x v="2"/>
    <x v="1"/>
    <x v="1"/>
    <x v="3"/>
    <n v="3"/>
    <n v="0"/>
    <n v="10043.736000000001"/>
    <x v="1"/>
    <x v="1"/>
    <s v="Regular"/>
  </r>
  <r>
    <d v="2020-09-24T00:00:00"/>
    <n v="4836"/>
    <x v="0"/>
    <n v="217"/>
    <n v="224.172"/>
    <x v="1"/>
    <x v="3"/>
    <x v="4"/>
    <x v="0"/>
    <x v="3"/>
    <n v="2"/>
    <n v="1"/>
    <n v="48645.324000000001"/>
    <x v="1"/>
    <x v="0"/>
    <s v="Regular"/>
  </r>
  <r>
    <d v="2020-09-23T00:00:00"/>
    <n v="4872"/>
    <x v="0"/>
    <n v="83"/>
    <n v="157.16400000000002"/>
    <x v="1"/>
    <x v="4"/>
    <x v="2"/>
    <x v="0"/>
    <x v="3"/>
    <n v="6"/>
    <n v="0"/>
    <n v="13044.612000000001"/>
    <x v="1"/>
    <x v="1"/>
    <s v="Bueno"/>
  </r>
  <r>
    <d v="2020-06-21T00:00:00"/>
    <n v="4683"/>
    <x v="7"/>
    <n v="177"/>
    <n v="201.672"/>
    <x v="1"/>
    <x v="5"/>
    <x v="1"/>
    <x v="3"/>
    <x v="1"/>
    <n v="10"/>
    <n v="1"/>
    <n v="35695.943999999996"/>
    <x v="1"/>
    <x v="0"/>
    <s v="Excelente"/>
  </r>
  <r>
    <d v="2020-02-22T00:00:00"/>
    <n v="5012"/>
    <x v="1"/>
    <n v="150"/>
    <n v="135.56399999999999"/>
    <x v="1"/>
    <x v="6"/>
    <x v="2"/>
    <x v="0"/>
    <x v="0"/>
    <n v="6"/>
    <n v="0"/>
    <n v="20334.599999999999"/>
    <x v="1"/>
    <x v="1"/>
    <s v="Bueno"/>
  </r>
  <r>
    <d v="2020-04-01T00:00:00"/>
    <n v="4693"/>
    <x v="5"/>
    <n v="175"/>
    <n v="222.696"/>
    <x v="1"/>
    <x v="7"/>
    <x v="5"/>
    <x v="3"/>
    <x v="1"/>
    <n v="10"/>
    <n v="1"/>
    <n v="38971.800000000003"/>
    <x v="1"/>
    <x v="0"/>
    <s v="Excelente"/>
  </r>
  <r>
    <d v="2020-08-15T00:00:00"/>
    <n v="4660"/>
    <x v="7"/>
    <n v="18"/>
    <n v="127.34400000000001"/>
    <x v="0"/>
    <x v="8"/>
    <x v="1"/>
    <x v="2"/>
    <x v="3"/>
    <n v="10"/>
    <n v="1"/>
    <n v="2292.192"/>
    <x v="0"/>
    <x v="0"/>
    <s v="Excelente"/>
  </r>
  <r>
    <d v="2020-08-21T00:00:00"/>
    <n v="4668"/>
    <x v="3"/>
    <n v="214"/>
    <n v="21.696000000000002"/>
    <x v="0"/>
    <x v="9"/>
    <x v="1"/>
    <x v="3"/>
    <x v="3"/>
    <n v="10"/>
    <n v="0"/>
    <n v="4642.9440000000004"/>
    <x v="0"/>
    <x v="1"/>
    <s v="Excelente"/>
  </r>
  <r>
    <d v="2020-05-01T00:00:00"/>
    <n v="4203"/>
    <x v="6"/>
    <n v="194"/>
    <n v="95.724000000000004"/>
    <x v="1"/>
    <x v="0"/>
    <x v="1"/>
    <x v="3"/>
    <x v="1"/>
    <n v="9"/>
    <n v="1"/>
    <n v="18570.456000000002"/>
    <x v="1"/>
    <x v="0"/>
    <s v="Excelente"/>
  </r>
  <r>
    <d v="2020-05-10T00:00:00"/>
    <n v="4504"/>
    <x v="10"/>
    <n v="96"/>
    <n v="72.72"/>
    <x v="1"/>
    <x v="1"/>
    <x v="1"/>
    <x v="1"/>
    <x v="3"/>
    <n v="6"/>
    <n v="0"/>
    <n v="6981.12"/>
    <x v="1"/>
    <x v="1"/>
    <s v="Bueno"/>
  </r>
  <r>
    <d v="2020-05-13T00:00:00"/>
    <n v="4970"/>
    <x v="1"/>
    <n v="175"/>
    <n v="13.56"/>
    <x v="0"/>
    <x v="2"/>
    <x v="3"/>
    <x v="0"/>
    <x v="0"/>
    <n v="6"/>
    <n v="0"/>
    <n v="2373"/>
    <x v="0"/>
    <x v="1"/>
    <s v="Bueno"/>
  </r>
  <r>
    <d v="2020-07-06T00:00:00"/>
    <n v="4539"/>
    <x v="7"/>
    <n v="12"/>
    <n v="89.724000000000004"/>
    <x v="0"/>
    <x v="3"/>
    <x v="1"/>
    <x v="1"/>
    <x v="1"/>
    <n v="9"/>
    <n v="0"/>
    <n v="1076.6880000000001"/>
    <x v="0"/>
    <x v="1"/>
    <s v="Excelente"/>
  </r>
  <r>
    <d v="2020-07-24T00:00:00"/>
    <n v="4910"/>
    <x v="1"/>
    <n v="40"/>
    <n v="226.81200000000001"/>
    <x v="0"/>
    <x v="4"/>
    <x v="3"/>
    <x v="0"/>
    <x v="3"/>
    <n v="6"/>
    <n v="0"/>
    <n v="9072.48"/>
    <x v="0"/>
    <x v="1"/>
    <s v="Bueno"/>
  </r>
  <r>
    <d v="2020-08-20T00:00:00"/>
    <n v="4282"/>
    <x v="5"/>
    <n v="114"/>
    <n v="42.323999999999998"/>
    <x v="0"/>
    <x v="5"/>
    <x v="1"/>
    <x v="0"/>
    <x v="5"/>
    <n v="5"/>
    <n v="0"/>
    <n v="4824.9359999999997"/>
    <x v="0"/>
    <x v="1"/>
    <s v="Bueno"/>
  </r>
  <r>
    <d v="2020-12-19T00:00:00"/>
    <n v="4371"/>
    <x v="3"/>
    <n v="68"/>
    <n v="221.02799999999999"/>
    <x v="1"/>
    <x v="6"/>
    <x v="1"/>
    <x v="4"/>
    <x v="1"/>
    <n v="10"/>
    <n v="0"/>
    <n v="15029.903999999999"/>
    <x v="1"/>
    <x v="1"/>
    <s v="Excelente"/>
  </r>
  <r>
    <d v="2020-12-20T00:00:00"/>
    <n v="4728"/>
    <x v="7"/>
    <n v="37"/>
    <n v="137.208"/>
    <x v="0"/>
    <x v="7"/>
    <x v="5"/>
    <x v="0"/>
    <x v="3"/>
    <n v="10"/>
    <n v="1"/>
    <n v="5076.6959999999999"/>
    <x v="0"/>
    <x v="0"/>
    <s v="Excelente"/>
  </r>
  <r>
    <d v="2020-12-12T00:00:00"/>
    <n v="4825"/>
    <x v="2"/>
    <n v="23"/>
    <n v="174.72"/>
    <x v="1"/>
    <x v="8"/>
    <x v="3"/>
    <x v="3"/>
    <x v="1"/>
    <n v="2"/>
    <n v="1"/>
    <n v="4018.56"/>
    <x v="1"/>
    <x v="0"/>
    <s v="Regular"/>
  </r>
  <r>
    <d v="2020-11-24T00:00:00"/>
    <n v="4719"/>
    <x v="7"/>
    <n v="85"/>
    <n v="190.74"/>
    <x v="1"/>
    <x v="9"/>
    <x v="7"/>
    <x v="3"/>
    <x v="1"/>
    <n v="10"/>
    <n v="0"/>
    <n v="16212.900000000001"/>
    <x v="1"/>
    <x v="1"/>
    <s v="Excelente"/>
  </r>
  <r>
    <d v="2020-10-27T00:00:00"/>
    <n v="4496"/>
    <x v="2"/>
    <n v="99"/>
    <n v="184.62"/>
    <x v="1"/>
    <x v="0"/>
    <x v="1"/>
    <x v="4"/>
    <x v="3"/>
    <n v="10"/>
    <n v="1"/>
    <n v="18277.38"/>
    <x v="1"/>
    <x v="0"/>
    <s v="Excelente"/>
  </r>
  <r>
    <d v="2020-04-26T00:00:00"/>
    <n v="4990"/>
    <x v="2"/>
    <n v="221"/>
    <n v="164.48400000000001"/>
    <x v="1"/>
    <x v="1"/>
    <x v="3"/>
    <x v="0"/>
    <x v="0"/>
    <n v="6"/>
    <n v="0"/>
    <n v="36350.964"/>
    <x v="1"/>
    <x v="1"/>
    <s v="Bueno"/>
  </r>
  <r>
    <d v="2020-04-08T00:00:00"/>
    <n v="4339"/>
    <x v="10"/>
    <n v="221"/>
    <n v="134.22"/>
    <x v="0"/>
    <x v="2"/>
    <x v="1"/>
    <x v="1"/>
    <x v="1"/>
    <n v="1"/>
    <n v="1"/>
    <n v="29662.62"/>
    <x v="0"/>
    <x v="0"/>
    <s v="Regular"/>
  </r>
  <r>
    <d v="2020-05-27T00:00:00"/>
    <n v="4622"/>
    <x v="1"/>
    <n v="21"/>
    <n v="228.14400000000001"/>
    <x v="1"/>
    <x v="3"/>
    <x v="1"/>
    <x v="0"/>
    <x v="3"/>
    <n v="10"/>
    <n v="0"/>
    <n v="4791.0240000000003"/>
    <x v="1"/>
    <x v="1"/>
    <s v="Excelente"/>
  </r>
  <r>
    <d v="2020-08-07T00:00:00"/>
    <n v="4437"/>
    <x v="3"/>
    <n v="127"/>
    <n v="111.444"/>
    <x v="1"/>
    <x v="4"/>
    <x v="1"/>
    <x v="0"/>
    <x v="1"/>
    <n v="6"/>
    <n v="1"/>
    <n v="14153.388000000001"/>
    <x v="1"/>
    <x v="0"/>
    <s v="Bueno"/>
  </r>
  <r>
    <d v="2020-04-22T00:00:00"/>
    <n v="4881"/>
    <x v="0"/>
    <n v="20"/>
    <n v="137.292"/>
    <x v="1"/>
    <x v="5"/>
    <x v="4"/>
    <x v="3"/>
    <x v="1"/>
    <n v="6"/>
    <n v="0"/>
    <n v="2745.84"/>
    <x v="1"/>
    <x v="1"/>
    <s v="Bueno"/>
  </r>
  <r>
    <d v="2020-06-15T00:00:00"/>
    <n v="4829"/>
    <x v="1"/>
    <n v="177"/>
    <n v="64.260000000000005"/>
    <x v="1"/>
    <x v="6"/>
    <x v="7"/>
    <x v="3"/>
    <x v="1"/>
    <n v="2"/>
    <n v="1"/>
    <n v="11374.02"/>
    <x v="1"/>
    <x v="0"/>
    <s v="Regular"/>
  </r>
  <r>
    <d v="2020-03-14T00:00:00"/>
    <n v="4245"/>
    <x v="8"/>
    <n v="31"/>
    <n v="19.8"/>
    <x v="1"/>
    <x v="7"/>
    <x v="1"/>
    <x v="2"/>
    <x v="1"/>
    <n v="6"/>
    <n v="0"/>
    <n v="613.80000000000007"/>
    <x v="1"/>
    <x v="1"/>
    <s v="Bueno"/>
  </r>
  <r>
    <d v="2020-07-01T00:00:00"/>
    <n v="4337"/>
    <x v="5"/>
    <n v="188"/>
    <n v="226.608"/>
    <x v="1"/>
    <x v="8"/>
    <x v="1"/>
    <x v="0"/>
    <x v="1"/>
    <n v="4"/>
    <n v="1"/>
    <n v="42602.304000000004"/>
    <x v="1"/>
    <x v="0"/>
    <s v="Regular"/>
  </r>
  <r>
    <d v="2020-01-09T00:00:00"/>
    <n v="5008"/>
    <x v="2"/>
    <n v="127"/>
    <n v="2.1"/>
    <x v="1"/>
    <x v="9"/>
    <x v="5"/>
    <x v="0"/>
    <x v="0"/>
    <n v="6"/>
    <n v="0"/>
    <n v="266.7"/>
    <x v="1"/>
    <x v="1"/>
    <s v="Bueno"/>
  </r>
  <r>
    <d v="2020-11-05T00:00:00"/>
    <n v="4326"/>
    <x v="5"/>
    <n v="5"/>
    <n v="188.184"/>
    <x v="0"/>
    <x v="0"/>
    <x v="1"/>
    <x v="4"/>
    <x v="3"/>
    <n v="3"/>
    <n v="1"/>
    <n v="940.92"/>
    <x v="0"/>
    <x v="0"/>
    <s v="Regular"/>
  </r>
  <r>
    <d v="2020-02-01T00:00:00"/>
    <n v="4742"/>
    <x v="3"/>
    <n v="183"/>
    <n v="156.40800000000002"/>
    <x v="0"/>
    <x v="1"/>
    <x v="2"/>
    <x v="0"/>
    <x v="3"/>
    <n v="7"/>
    <n v="0"/>
    <n v="28622.664000000004"/>
    <x v="0"/>
    <x v="1"/>
    <s v="Bueno"/>
  </r>
  <r>
    <d v="2020-05-01T00:00:00"/>
    <n v="5028"/>
    <x v="0"/>
    <n v="8"/>
    <n v="192.28800000000001"/>
    <x v="0"/>
    <x v="2"/>
    <x v="5"/>
    <x v="0"/>
    <x v="0"/>
    <n v="6"/>
    <n v="1"/>
    <n v="1538.3040000000001"/>
    <x v="0"/>
    <x v="0"/>
    <s v="Bueno"/>
  </r>
  <r>
    <d v="2020-10-28T00:00:00"/>
    <n v="4200"/>
    <x v="0"/>
    <n v="151"/>
    <n v="60.731999999999999"/>
    <x v="0"/>
    <x v="3"/>
    <x v="1"/>
    <x v="2"/>
    <x v="4"/>
    <n v="1"/>
    <n v="1"/>
    <n v="9170.5319999999992"/>
    <x v="0"/>
    <x v="0"/>
    <s v="Regular"/>
  </r>
  <r>
    <d v="2020-01-28T00:00:00"/>
    <n v="4987"/>
    <x v="2"/>
    <n v="222"/>
    <n v="16.943999999999999"/>
    <x v="0"/>
    <x v="4"/>
    <x v="2"/>
    <x v="3"/>
    <x v="4"/>
    <n v="6"/>
    <n v="0"/>
    <n v="3761.5679999999998"/>
    <x v="0"/>
    <x v="1"/>
    <s v="Bueno"/>
  </r>
  <r>
    <d v="2020-06-14T00:00:00"/>
    <n v="4466"/>
    <x v="4"/>
    <n v="87"/>
    <n v="43.368000000000002"/>
    <x v="0"/>
    <x v="5"/>
    <x v="1"/>
    <x v="4"/>
    <x v="3"/>
    <n v="1"/>
    <n v="1"/>
    <n v="3773.0160000000001"/>
    <x v="0"/>
    <x v="0"/>
    <s v="Regular"/>
  </r>
  <r>
    <d v="2020-07-04T00:00:00"/>
    <n v="4724"/>
    <x v="3"/>
    <n v="222"/>
    <n v="151.80000000000001"/>
    <x v="1"/>
    <x v="6"/>
    <x v="7"/>
    <x v="0"/>
    <x v="3"/>
    <n v="10"/>
    <n v="0"/>
    <n v="33699.600000000006"/>
    <x v="1"/>
    <x v="1"/>
    <s v="Excelente"/>
  </r>
  <r>
    <d v="2020-02-11T00:00:00"/>
    <n v="4535"/>
    <x v="5"/>
    <n v="176"/>
    <n v="201.9"/>
    <x v="0"/>
    <x v="7"/>
    <x v="1"/>
    <x v="2"/>
    <x v="1"/>
    <n v="10"/>
    <n v="1"/>
    <n v="35534.400000000001"/>
    <x v="0"/>
    <x v="0"/>
    <s v="Excelente"/>
  </r>
  <r>
    <d v="2020-09-04T00:00:00"/>
    <n v="4789"/>
    <x v="2"/>
    <n v="181"/>
    <n v="218.892"/>
    <x v="1"/>
    <x v="8"/>
    <x v="7"/>
    <x v="3"/>
    <x v="1"/>
    <n v="7"/>
    <n v="0"/>
    <n v="39619.451999999997"/>
    <x v="1"/>
    <x v="1"/>
    <s v="Bueno"/>
  </r>
  <r>
    <d v="2020-01-11T00:00:00"/>
    <n v="4281"/>
    <x v="1"/>
    <n v="29"/>
    <n v="15.684000000000001"/>
    <x v="0"/>
    <x v="9"/>
    <x v="1"/>
    <x v="4"/>
    <x v="1"/>
    <n v="9"/>
    <n v="0"/>
    <n v="454.83600000000001"/>
    <x v="0"/>
    <x v="1"/>
    <s v="Excelente"/>
  </r>
  <r>
    <d v="2020-02-06T00:00:00"/>
    <n v="4817"/>
    <x v="1"/>
    <n v="40"/>
    <n v="166.68"/>
    <x v="0"/>
    <x v="0"/>
    <x v="2"/>
    <x v="3"/>
    <x v="1"/>
    <n v="2"/>
    <n v="1"/>
    <n v="6667.2000000000007"/>
    <x v="0"/>
    <x v="0"/>
    <s v="Regular"/>
  </r>
  <r>
    <d v="2020-07-24T00:00:00"/>
    <n v="4852"/>
    <x v="2"/>
    <n v="30"/>
    <n v="13.416"/>
    <x v="1"/>
    <x v="1"/>
    <x v="2"/>
    <x v="0"/>
    <x v="3"/>
    <n v="1"/>
    <n v="1"/>
    <n v="402.48"/>
    <x v="1"/>
    <x v="0"/>
    <s v="Regular"/>
  </r>
  <r>
    <d v="2020-03-12T00:00:00"/>
    <n v="5000"/>
    <x v="1"/>
    <n v="103"/>
    <n v="90.72"/>
    <x v="1"/>
    <x v="2"/>
    <x v="3"/>
    <x v="0"/>
    <x v="0"/>
    <n v="6"/>
    <n v="0"/>
    <n v="9344.16"/>
    <x v="1"/>
    <x v="1"/>
    <s v="Bueno"/>
  </r>
  <r>
    <d v="2020-10-02T00:00:00"/>
    <n v="5030"/>
    <x v="1"/>
    <n v="133"/>
    <n v="8.16"/>
    <x v="1"/>
    <x v="3"/>
    <x v="3"/>
    <x v="0"/>
    <x v="0"/>
    <n v="6"/>
    <n v="1"/>
    <n v="1085.28"/>
    <x v="1"/>
    <x v="0"/>
    <s v="Bueno"/>
  </r>
  <r>
    <d v="2020-10-01T00:00:00"/>
    <n v="4714"/>
    <x v="5"/>
    <n v="120"/>
    <n v="213.624"/>
    <x v="0"/>
    <x v="4"/>
    <x v="7"/>
    <x v="0"/>
    <x v="3"/>
    <n v="10"/>
    <n v="1"/>
    <n v="25634.880000000001"/>
    <x v="0"/>
    <x v="0"/>
    <s v="Excelente"/>
  </r>
  <r>
    <d v="2020-07-27T00:00:00"/>
    <n v="4883"/>
    <x v="1"/>
    <n v="167"/>
    <n v="233.124"/>
    <x v="0"/>
    <x v="5"/>
    <x v="5"/>
    <x v="3"/>
    <x v="1"/>
    <n v="6"/>
    <n v="0"/>
    <n v="38931.707999999999"/>
    <x v="0"/>
    <x v="1"/>
    <s v="Bueno"/>
  </r>
  <r>
    <d v="2020-12-03T00:00:00"/>
    <n v="4748"/>
    <x v="3"/>
    <n v="100"/>
    <n v="25.740000000000002"/>
    <x v="1"/>
    <x v="6"/>
    <x v="5"/>
    <x v="0"/>
    <x v="3"/>
    <n v="7"/>
    <n v="0"/>
    <n v="2574"/>
    <x v="1"/>
    <x v="1"/>
    <s v="Bueno"/>
  </r>
  <r>
    <d v="2020-09-10T00:00:00"/>
    <n v="4183"/>
    <x v="5"/>
    <n v="19"/>
    <n v="150.072"/>
    <x v="1"/>
    <x v="7"/>
    <x v="1"/>
    <x v="3"/>
    <x v="2"/>
    <n v="2"/>
    <n v="1"/>
    <n v="2851.3679999999999"/>
    <x v="1"/>
    <x v="0"/>
    <s v="Regular"/>
  </r>
  <r>
    <d v="2020-08-26T00:00:00"/>
    <n v="4955"/>
    <x v="1"/>
    <n v="84"/>
    <n v="135.25200000000001"/>
    <x v="0"/>
    <x v="8"/>
    <x v="3"/>
    <x v="3"/>
    <x v="1"/>
    <n v="6"/>
    <n v="0"/>
    <n v="11361.168000000001"/>
    <x v="0"/>
    <x v="1"/>
    <s v="Bueno"/>
  </r>
  <r>
    <d v="2020-02-26T00:00:00"/>
    <n v="4351"/>
    <x v="9"/>
    <n v="52"/>
    <n v="95.304000000000002"/>
    <x v="0"/>
    <x v="9"/>
    <x v="1"/>
    <x v="4"/>
    <x v="1"/>
    <n v="5"/>
    <n v="0"/>
    <n v="4955.808"/>
    <x v="0"/>
    <x v="1"/>
    <s v="Bueno"/>
  </r>
  <r>
    <d v="2020-02-19T00:00:00"/>
    <n v="4787"/>
    <x v="1"/>
    <n v="10"/>
    <n v="152.76"/>
    <x v="0"/>
    <x v="0"/>
    <x v="2"/>
    <x v="3"/>
    <x v="1"/>
    <n v="7"/>
    <n v="1"/>
    <n v="1527.6"/>
    <x v="0"/>
    <x v="0"/>
    <s v="Bueno"/>
  </r>
  <r>
    <d v="2020-07-15T00:00:00"/>
    <n v="4214"/>
    <x v="6"/>
    <n v="172"/>
    <n v="79.632000000000005"/>
    <x v="1"/>
    <x v="1"/>
    <x v="1"/>
    <x v="1"/>
    <x v="3"/>
    <n v="6"/>
    <n v="0"/>
    <n v="13696.704000000002"/>
    <x v="1"/>
    <x v="1"/>
    <s v="Bueno"/>
  </r>
  <r>
    <d v="2020-08-07T00:00:00"/>
    <n v="4614"/>
    <x v="10"/>
    <n v="185"/>
    <n v="118.29600000000001"/>
    <x v="1"/>
    <x v="2"/>
    <x v="1"/>
    <x v="1"/>
    <x v="3"/>
    <n v="10"/>
    <n v="1"/>
    <n v="21884.760000000002"/>
    <x v="1"/>
    <x v="0"/>
    <s v="Excelente"/>
  </r>
  <r>
    <d v="2020-09-16T00:00:00"/>
    <n v="4457"/>
    <x v="1"/>
    <n v="91"/>
    <n v="152.43600000000001"/>
    <x v="0"/>
    <x v="3"/>
    <x v="1"/>
    <x v="0"/>
    <x v="1"/>
    <n v="8"/>
    <n v="1"/>
    <n v="13871.676000000001"/>
    <x v="0"/>
    <x v="0"/>
    <s v="Bueno"/>
  </r>
  <r>
    <d v="2020-03-01T00:00:00"/>
    <n v="5020"/>
    <x v="2"/>
    <n v="226"/>
    <n v="202.32"/>
    <x v="0"/>
    <x v="4"/>
    <x v="3"/>
    <x v="0"/>
    <x v="0"/>
    <n v="6"/>
    <n v="1"/>
    <n v="45724.32"/>
    <x v="0"/>
    <x v="0"/>
    <s v="Bueno"/>
  </r>
  <r>
    <d v="2020-01-24T00:00:00"/>
    <n v="4286"/>
    <x v="7"/>
    <n v="211"/>
    <n v="173.4"/>
    <x v="1"/>
    <x v="5"/>
    <x v="1"/>
    <x v="4"/>
    <x v="3"/>
    <n v="6"/>
    <n v="0"/>
    <n v="36587.4"/>
    <x v="1"/>
    <x v="1"/>
    <s v="Bueno"/>
  </r>
  <r>
    <d v="2020-05-23T00:00:00"/>
    <n v="4884"/>
    <x v="0"/>
    <n v="44"/>
    <n v="92.34"/>
    <x v="0"/>
    <x v="6"/>
    <x v="7"/>
    <x v="0"/>
    <x v="3"/>
    <n v="6"/>
    <n v="0"/>
    <n v="4062.96"/>
    <x v="0"/>
    <x v="1"/>
    <s v="Bueno"/>
  </r>
  <r>
    <d v="2020-06-18T00:00:00"/>
    <n v="4544"/>
    <x v="6"/>
    <n v="77"/>
    <n v="41.1"/>
    <x v="1"/>
    <x v="7"/>
    <x v="1"/>
    <x v="1"/>
    <x v="3"/>
    <n v="10"/>
    <n v="0"/>
    <n v="3164.7000000000003"/>
    <x v="1"/>
    <x v="1"/>
    <s v="Excelente"/>
  </r>
  <r>
    <d v="2020-02-16T00:00:00"/>
    <n v="4421"/>
    <x v="8"/>
    <n v="198"/>
    <n v="60.527999999999999"/>
    <x v="0"/>
    <x v="8"/>
    <x v="1"/>
    <x v="4"/>
    <x v="1"/>
    <n v="9"/>
    <n v="0"/>
    <n v="11984.544"/>
    <x v="0"/>
    <x v="1"/>
    <s v="Excelente"/>
  </r>
  <r>
    <d v="2020-07-29T00:00:00"/>
    <n v="4822"/>
    <x v="2"/>
    <n v="135"/>
    <n v="165.804"/>
    <x v="1"/>
    <x v="9"/>
    <x v="2"/>
    <x v="0"/>
    <x v="3"/>
    <n v="2"/>
    <n v="1"/>
    <n v="22383.54"/>
    <x v="1"/>
    <x v="0"/>
    <s v="Regular"/>
  </r>
  <r>
    <d v="2020-07-18T00:00:00"/>
    <n v="4219"/>
    <x v="9"/>
    <n v="171"/>
    <n v="114.324"/>
    <x v="0"/>
    <x v="0"/>
    <x v="1"/>
    <x v="1"/>
    <x v="2"/>
    <n v="8"/>
    <n v="0"/>
    <n v="19549.403999999999"/>
    <x v="0"/>
    <x v="1"/>
    <s v="Bueno"/>
  </r>
  <r>
    <d v="2020-11-07T00:00:00"/>
    <n v="4731"/>
    <x v="7"/>
    <n v="213"/>
    <n v="33.515999999999998"/>
    <x v="0"/>
    <x v="1"/>
    <x v="4"/>
    <x v="3"/>
    <x v="1"/>
    <n v="7"/>
    <n v="1"/>
    <n v="7138.9079999999994"/>
    <x v="0"/>
    <x v="0"/>
    <s v="Bueno"/>
  </r>
  <r>
    <d v="2020-12-02T00:00:00"/>
    <n v="4481"/>
    <x v="3"/>
    <n v="56"/>
    <n v="177.72"/>
    <x v="0"/>
    <x v="2"/>
    <x v="1"/>
    <x v="4"/>
    <x v="1"/>
    <n v="8"/>
    <n v="1"/>
    <n v="9952.32"/>
    <x v="0"/>
    <x v="0"/>
    <s v="Bueno"/>
  </r>
  <r>
    <d v="2020-11-25T00:00:00"/>
    <n v="4879"/>
    <x v="2"/>
    <n v="74"/>
    <n v="144.744"/>
    <x v="0"/>
    <x v="3"/>
    <x v="7"/>
    <x v="3"/>
    <x v="1"/>
    <n v="6"/>
    <n v="0"/>
    <n v="10711.056"/>
    <x v="0"/>
    <x v="1"/>
    <s v="Bueno"/>
  </r>
  <r>
    <d v="2020-03-26T00:00:00"/>
    <n v="4757"/>
    <x v="3"/>
    <n v="12"/>
    <n v="97.26"/>
    <x v="0"/>
    <x v="4"/>
    <x v="2"/>
    <x v="3"/>
    <x v="1"/>
    <n v="7"/>
    <n v="1"/>
    <n v="1167.1200000000001"/>
    <x v="0"/>
    <x v="0"/>
    <s v="Bueno"/>
  </r>
  <r>
    <d v="2020-01-28T00:00:00"/>
    <n v="5014"/>
    <x v="2"/>
    <n v="111"/>
    <n v="26.628"/>
    <x v="1"/>
    <x v="5"/>
    <x v="7"/>
    <x v="0"/>
    <x v="0"/>
    <n v="6"/>
    <n v="1"/>
    <n v="2955.7080000000001"/>
    <x v="1"/>
    <x v="0"/>
    <s v="Bueno"/>
  </r>
  <r>
    <d v="2020-06-29T00:00:00"/>
    <n v="4708"/>
    <x v="5"/>
    <n v="185"/>
    <n v="191.43600000000001"/>
    <x v="1"/>
    <x v="6"/>
    <x v="5"/>
    <x v="0"/>
    <x v="3"/>
    <n v="10"/>
    <n v="1"/>
    <n v="35415.660000000003"/>
    <x v="1"/>
    <x v="0"/>
    <s v="Excelente"/>
  </r>
  <r>
    <d v="2020-10-04T00:00:00"/>
    <n v="4607"/>
    <x v="0"/>
    <n v="177"/>
    <n v="111.744"/>
    <x v="0"/>
    <x v="7"/>
    <x v="1"/>
    <x v="0"/>
    <x v="1"/>
    <n v="10"/>
    <n v="1"/>
    <n v="19778.687999999998"/>
    <x v="0"/>
    <x v="0"/>
    <s v="Excelente"/>
  </r>
  <r>
    <d v="2020-11-07T00:00:00"/>
    <n v="4446"/>
    <x v="1"/>
    <n v="96"/>
    <n v="5.5200000000000005"/>
    <x v="0"/>
    <x v="8"/>
    <x v="1"/>
    <x v="4"/>
    <x v="3"/>
    <n v="9"/>
    <n v="0"/>
    <n v="529.92000000000007"/>
    <x v="0"/>
    <x v="1"/>
    <s v="Excelente"/>
  </r>
  <r>
    <d v="2020-03-16T00:00:00"/>
    <n v="4246"/>
    <x v="4"/>
    <n v="156"/>
    <n v="106.908"/>
    <x v="0"/>
    <x v="9"/>
    <x v="1"/>
    <x v="4"/>
    <x v="5"/>
    <n v="10"/>
    <n v="0"/>
    <n v="16677.648000000001"/>
    <x v="0"/>
    <x v="1"/>
    <s v="Excelente"/>
  </r>
  <r>
    <d v="2020-03-04T00:00:00"/>
    <n v="4368"/>
    <x v="6"/>
    <n v="110"/>
    <n v="23.783999999999999"/>
    <x v="0"/>
    <x v="0"/>
    <x v="1"/>
    <x v="3"/>
    <x v="3"/>
    <n v="3"/>
    <n v="0"/>
    <n v="2616.2399999999998"/>
    <x v="0"/>
    <x v="1"/>
    <s v="Regular"/>
  </r>
  <r>
    <d v="2020-02-19T00:00:00"/>
    <n v="4566"/>
    <x v="6"/>
    <n v="127"/>
    <n v="120.19200000000001"/>
    <x v="0"/>
    <x v="1"/>
    <x v="1"/>
    <x v="4"/>
    <x v="3"/>
    <n v="10"/>
    <n v="0"/>
    <n v="15264.384000000002"/>
    <x v="0"/>
    <x v="1"/>
    <s v="Excelente"/>
  </r>
  <r>
    <d v="2020-11-14T00:00:00"/>
    <n v="4321"/>
    <x v="0"/>
    <n v="227"/>
    <n v="97.248000000000005"/>
    <x v="1"/>
    <x v="2"/>
    <x v="1"/>
    <x v="4"/>
    <x v="1"/>
    <n v="5"/>
    <n v="0"/>
    <n v="22075.296000000002"/>
    <x v="1"/>
    <x v="1"/>
    <s v="Bueno"/>
  </r>
  <r>
    <d v="2020-04-19T00:00:00"/>
    <n v="4665"/>
    <x v="6"/>
    <n v="38"/>
    <n v="86.195999999999998"/>
    <x v="0"/>
    <x v="3"/>
    <x v="1"/>
    <x v="2"/>
    <x v="1"/>
    <n v="10"/>
    <n v="1"/>
    <n v="3275.4479999999999"/>
    <x v="0"/>
    <x v="0"/>
    <s v="Excelente"/>
  </r>
  <r>
    <d v="2020-02-16T00:00:00"/>
    <n v="4398"/>
    <x v="0"/>
    <n v="187"/>
    <n v="113.86800000000001"/>
    <x v="1"/>
    <x v="4"/>
    <x v="1"/>
    <x v="3"/>
    <x v="3"/>
    <n v="1"/>
    <n v="1"/>
    <n v="21293.316000000003"/>
    <x v="1"/>
    <x v="0"/>
    <s v="Regular"/>
  </r>
  <r>
    <d v="2020-01-05T00:00:00"/>
    <n v="4971"/>
    <x v="0"/>
    <n v="48"/>
    <n v="171.66"/>
    <x v="0"/>
    <x v="5"/>
    <x v="4"/>
    <x v="3"/>
    <x v="4"/>
    <n v="6"/>
    <n v="0"/>
    <n v="8239.68"/>
    <x v="0"/>
    <x v="1"/>
    <s v="Bueno"/>
  </r>
  <r>
    <d v="2020-04-17T00:00:00"/>
    <n v="4604"/>
    <x v="9"/>
    <n v="193"/>
    <n v="116.11200000000001"/>
    <x v="1"/>
    <x v="6"/>
    <x v="1"/>
    <x v="1"/>
    <x v="3"/>
    <n v="10"/>
    <n v="0"/>
    <n v="22409.616000000002"/>
    <x v="1"/>
    <x v="1"/>
    <s v="Excelente"/>
  </r>
  <r>
    <d v="2020-04-23T00:00:00"/>
    <n v="4939"/>
    <x v="2"/>
    <n v="143"/>
    <n v="14.772"/>
    <x v="0"/>
    <x v="7"/>
    <x v="7"/>
    <x v="3"/>
    <x v="1"/>
    <n v="6"/>
    <n v="0"/>
    <n v="2112.3960000000002"/>
    <x v="0"/>
    <x v="1"/>
    <s v="Bueno"/>
  </r>
  <r>
    <d v="2020-12-27T00:00:00"/>
    <n v="4964"/>
    <x v="1"/>
    <n v="56"/>
    <n v="202.95600000000002"/>
    <x v="1"/>
    <x v="8"/>
    <x v="7"/>
    <x v="0"/>
    <x v="0"/>
    <n v="6"/>
    <n v="0"/>
    <n v="11365.536"/>
    <x v="1"/>
    <x v="1"/>
    <s v="Bueno"/>
  </r>
  <r>
    <d v="2020-07-04T00:00:00"/>
    <n v="4546"/>
    <x v="5"/>
    <n v="112"/>
    <n v="191.49600000000001"/>
    <x v="0"/>
    <x v="9"/>
    <x v="1"/>
    <x v="4"/>
    <x v="3"/>
    <n v="10"/>
    <n v="1"/>
    <n v="21447.552"/>
    <x v="0"/>
    <x v="0"/>
    <s v="Excelente"/>
  </r>
  <r>
    <d v="2020-08-28T00:00:00"/>
    <n v="4501"/>
    <x v="1"/>
    <n v="21"/>
    <n v="86.100000000000009"/>
    <x v="0"/>
    <x v="0"/>
    <x v="1"/>
    <x v="4"/>
    <x v="1"/>
    <n v="4"/>
    <n v="1"/>
    <n v="1808.1000000000001"/>
    <x v="0"/>
    <x v="0"/>
    <s v="Regular"/>
  </r>
  <r>
    <d v="2020-03-10T00:00:00"/>
    <n v="4791"/>
    <x v="0"/>
    <n v="82"/>
    <n v="177.49199999999999"/>
    <x v="0"/>
    <x v="1"/>
    <x v="4"/>
    <x v="3"/>
    <x v="1"/>
    <n v="7"/>
    <n v="1"/>
    <n v="14554.343999999999"/>
    <x v="0"/>
    <x v="0"/>
    <s v="Bueno"/>
  </r>
  <r>
    <d v="2020-06-29T00:00:00"/>
    <n v="4772"/>
    <x v="1"/>
    <n v="57"/>
    <n v="158.72399999999999"/>
    <x v="1"/>
    <x v="2"/>
    <x v="2"/>
    <x v="0"/>
    <x v="3"/>
    <n v="7"/>
    <n v="1"/>
    <n v="9047.268"/>
    <x v="1"/>
    <x v="0"/>
    <s v="Bueno"/>
  </r>
  <r>
    <d v="2020-09-19T00:00:00"/>
    <n v="4540"/>
    <x v="2"/>
    <n v="177"/>
    <n v="8.2799999999999994"/>
    <x v="1"/>
    <x v="3"/>
    <x v="1"/>
    <x v="2"/>
    <x v="3"/>
    <n v="10"/>
    <n v="1"/>
    <n v="1465.56"/>
    <x v="1"/>
    <x v="0"/>
    <s v="Excelente"/>
  </r>
  <r>
    <d v="2020-05-12T00:00:00"/>
    <n v="4372"/>
    <x v="10"/>
    <n v="227"/>
    <n v="5.76"/>
    <x v="0"/>
    <x v="4"/>
    <x v="1"/>
    <x v="0"/>
    <x v="3"/>
    <n v="9"/>
    <n v="0"/>
    <n v="1307.52"/>
    <x v="0"/>
    <x v="1"/>
    <s v="Excelente"/>
  </r>
  <r>
    <d v="2020-03-05T00:00:00"/>
    <n v="4349"/>
    <x v="3"/>
    <n v="189"/>
    <n v="110.988"/>
    <x v="1"/>
    <x v="5"/>
    <x v="1"/>
    <x v="1"/>
    <x v="1"/>
    <n v="5"/>
    <n v="0"/>
    <n v="20976.732"/>
    <x v="1"/>
    <x v="1"/>
    <s v="Bueno"/>
  </r>
  <r>
    <d v="2020-12-02T00:00:00"/>
    <n v="4256"/>
    <x v="8"/>
    <n v="46"/>
    <n v="35.951999999999998"/>
    <x v="1"/>
    <x v="6"/>
    <x v="1"/>
    <x v="4"/>
    <x v="3"/>
    <n v="8"/>
    <n v="1"/>
    <n v="1653.7919999999999"/>
    <x v="1"/>
    <x v="0"/>
    <s v="Bueno"/>
  </r>
  <r>
    <d v="2020-11-24T00:00:00"/>
    <n v="4691"/>
    <x v="3"/>
    <n v="44"/>
    <n v="223.30799999999999"/>
    <x v="0"/>
    <x v="7"/>
    <x v="4"/>
    <x v="4"/>
    <x v="1"/>
    <n v="10"/>
    <n v="0"/>
    <n v="9825.5519999999997"/>
    <x v="0"/>
    <x v="1"/>
    <s v="Excelente"/>
  </r>
  <r>
    <d v="2020-07-21T00:00:00"/>
    <n v="4866"/>
    <x v="0"/>
    <n v="99"/>
    <n v="213.06"/>
    <x v="0"/>
    <x v="8"/>
    <x v="4"/>
    <x v="0"/>
    <x v="3"/>
    <n v="6"/>
    <n v="1"/>
    <n v="21092.94"/>
    <x v="0"/>
    <x v="0"/>
    <s v="Bueno"/>
  </r>
  <r>
    <d v="2020-12-20T00:00:00"/>
    <n v="4892"/>
    <x v="1"/>
    <n v="224"/>
    <n v="15.84"/>
    <x v="1"/>
    <x v="9"/>
    <x v="2"/>
    <x v="0"/>
    <x v="3"/>
    <n v="6"/>
    <n v="0"/>
    <n v="3548.16"/>
    <x v="1"/>
    <x v="1"/>
    <s v="Bueno"/>
  </r>
  <r>
    <d v="2020-05-01T00:00:00"/>
    <n v="4449"/>
    <x v="10"/>
    <n v="38"/>
    <n v="122.532"/>
    <x v="0"/>
    <x v="0"/>
    <x v="1"/>
    <x v="1"/>
    <x v="1"/>
    <n v="5"/>
    <n v="0"/>
    <n v="4656.2159999999994"/>
    <x v="0"/>
    <x v="1"/>
    <s v="Bueno"/>
  </r>
  <r>
    <d v="2020-05-20T00:00:00"/>
    <n v="4612"/>
    <x v="5"/>
    <n v="139"/>
    <n v="191.88"/>
    <x v="0"/>
    <x v="1"/>
    <x v="1"/>
    <x v="0"/>
    <x v="3"/>
    <n v="10"/>
    <n v="0"/>
    <n v="26671.32"/>
    <x v="0"/>
    <x v="1"/>
    <s v="Excelente"/>
  </r>
  <r>
    <d v="2020-01-15T00:00:00"/>
    <n v="4972"/>
    <x v="2"/>
    <n v="85"/>
    <n v="78.3"/>
    <x v="0"/>
    <x v="2"/>
    <x v="2"/>
    <x v="0"/>
    <x v="0"/>
    <n v="6"/>
    <n v="0"/>
    <n v="6655.5"/>
    <x v="0"/>
    <x v="1"/>
    <s v="Bueno"/>
  </r>
  <r>
    <d v="2020-12-25T00:00:00"/>
    <n v="4784"/>
    <x v="1"/>
    <n v="148"/>
    <n v="164.53200000000001"/>
    <x v="1"/>
    <x v="3"/>
    <x v="7"/>
    <x v="0"/>
    <x v="3"/>
    <n v="7"/>
    <n v="1"/>
    <n v="24350.736000000001"/>
    <x v="1"/>
    <x v="0"/>
    <s v="Bueno"/>
  </r>
  <r>
    <d v="2020-12-28T00:00:00"/>
    <n v="4272"/>
    <x v="3"/>
    <n v="191"/>
    <n v="150.52799999999999"/>
    <x v="1"/>
    <x v="4"/>
    <x v="1"/>
    <x v="0"/>
    <x v="4"/>
    <n v="5"/>
    <n v="0"/>
    <n v="28750.847999999998"/>
    <x v="1"/>
    <x v="1"/>
    <s v="Bueno"/>
  </r>
  <r>
    <d v="2020-12-04T00:00:00"/>
    <n v="4306"/>
    <x v="10"/>
    <n v="224"/>
    <n v="129.756"/>
    <x v="1"/>
    <x v="5"/>
    <x v="1"/>
    <x v="4"/>
    <x v="5"/>
    <n v="8"/>
    <n v="1"/>
    <n v="29065.344000000001"/>
    <x v="1"/>
    <x v="0"/>
    <s v="Bueno"/>
  </r>
  <r>
    <d v="2020-01-29T00:00:00"/>
    <n v="4193"/>
    <x v="1"/>
    <n v="51"/>
    <n v="225.58799999999999"/>
    <x v="1"/>
    <x v="6"/>
    <x v="1"/>
    <x v="3"/>
    <x v="0"/>
    <n v="6"/>
    <n v="1"/>
    <n v="11504.987999999999"/>
    <x v="1"/>
    <x v="0"/>
    <s v="Bueno"/>
  </r>
  <r>
    <d v="2020-03-18T00:00:00"/>
    <n v="4893"/>
    <x v="0"/>
    <n v="101"/>
    <n v="128.244"/>
    <x v="0"/>
    <x v="7"/>
    <x v="5"/>
    <x v="3"/>
    <x v="1"/>
    <n v="6"/>
    <n v="0"/>
    <n v="12952.644"/>
    <x v="0"/>
    <x v="1"/>
    <s v="Bueno"/>
  </r>
  <r>
    <d v="2020-11-13T00:00:00"/>
    <n v="4658"/>
    <x v="10"/>
    <n v="92"/>
    <n v="163.524"/>
    <x v="0"/>
    <x v="8"/>
    <x v="1"/>
    <x v="3"/>
    <x v="3"/>
    <n v="10"/>
    <n v="1"/>
    <n v="15044.208000000001"/>
    <x v="0"/>
    <x v="0"/>
    <s v="Excelente"/>
  </r>
  <r>
    <d v="2020-04-07T00:00:00"/>
    <n v="4251"/>
    <x v="10"/>
    <n v="67"/>
    <n v="107.124"/>
    <x v="0"/>
    <x v="9"/>
    <x v="1"/>
    <x v="4"/>
    <x v="1"/>
    <n v="5"/>
    <n v="0"/>
    <n v="7177.308"/>
    <x v="0"/>
    <x v="1"/>
    <s v="Bueno"/>
  </r>
  <r>
    <d v="2020-01-09T00:00:00"/>
    <n v="4350"/>
    <x v="10"/>
    <n v="60"/>
    <n v="100.464"/>
    <x v="1"/>
    <x v="0"/>
    <x v="1"/>
    <x v="2"/>
    <x v="3"/>
    <n v="2"/>
    <n v="0"/>
    <n v="6027.84"/>
    <x v="1"/>
    <x v="1"/>
    <s v="Regular"/>
  </r>
  <r>
    <d v="2020-02-05T00:00:00"/>
    <n v="4462"/>
    <x v="7"/>
    <n v="27"/>
    <n v="61.392000000000003"/>
    <x v="1"/>
    <x v="1"/>
    <x v="1"/>
    <x v="0"/>
    <x v="3"/>
    <n v="3"/>
    <n v="1"/>
    <n v="1657.5840000000001"/>
    <x v="1"/>
    <x v="0"/>
    <s v="Regular"/>
  </r>
  <r>
    <d v="2020-10-01T00:00:00"/>
    <n v="4367"/>
    <x v="4"/>
    <n v="62"/>
    <n v="18.708000000000002"/>
    <x v="1"/>
    <x v="2"/>
    <x v="1"/>
    <x v="0"/>
    <x v="1"/>
    <n v="7"/>
    <n v="0"/>
    <n v="1159.8960000000002"/>
    <x v="1"/>
    <x v="1"/>
    <s v="Bueno"/>
  </r>
  <r>
    <d v="2020-10-20T00:00:00"/>
    <n v="4229"/>
    <x v="10"/>
    <n v="76"/>
    <n v="129.9"/>
    <x v="0"/>
    <x v="3"/>
    <x v="1"/>
    <x v="1"/>
    <x v="0"/>
    <n v="10"/>
    <n v="0"/>
    <n v="9872.4"/>
    <x v="0"/>
    <x v="1"/>
    <s v="Excelente"/>
  </r>
  <r>
    <d v="2020-03-01T00:00:00"/>
    <n v="4905"/>
    <x v="0"/>
    <n v="177"/>
    <n v="173.04"/>
    <x v="0"/>
    <x v="4"/>
    <x v="3"/>
    <x v="3"/>
    <x v="1"/>
    <n v="6"/>
    <n v="0"/>
    <n v="30628.079999999998"/>
    <x v="0"/>
    <x v="1"/>
    <s v="Bueno"/>
  </r>
  <r>
    <d v="2020-02-01T00:00:00"/>
    <n v="4805"/>
    <x v="1"/>
    <n v="25"/>
    <n v="110.196"/>
    <x v="0"/>
    <x v="5"/>
    <x v="3"/>
    <x v="3"/>
    <x v="1"/>
    <n v="2"/>
    <n v="1"/>
    <n v="2754.9"/>
    <x v="0"/>
    <x v="0"/>
    <s v="Regular"/>
  </r>
  <r>
    <d v="2020-10-22T00:00:00"/>
    <n v="4686"/>
    <x v="7"/>
    <n v="181"/>
    <n v="100.116"/>
    <x v="1"/>
    <x v="6"/>
    <x v="4"/>
    <x v="4"/>
    <x v="3"/>
    <n v="10"/>
    <n v="1"/>
    <n v="18120.995999999999"/>
    <x v="1"/>
    <x v="0"/>
    <s v="Excelente"/>
  </r>
  <r>
    <d v="2020-09-09T00:00:00"/>
    <n v="4497"/>
    <x v="0"/>
    <n v="186"/>
    <n v="58.428000000000004"/>
    <x v="1"/>
    <x v="7"/>
    <x v="1"/>
    <x v="0"/>
    <x v="1"/>
    <n v="7"/>
    <n v="0"/>
    <n v="10867.608"/>
    <x v="1"/>
    <x v="1"/>
    <s v="Bueno"/>
  </r>
  <r>
    <d v="2020-09-05T00:00:00"/>
    <n v="4692"/>
    <x v="7"/>
    <n v="119"/>
    <n v="173.50800000000001"/>
    <x v="0"/>
    <x v="8"/>
    <x v="2"/>
    <x v="0"/>
    <x v="3"/>
    <n v="10"/>
    <n v="0"/>
    <n v="20647.452000000001"/>
    <x v="0"/>
    <x v="1"/>
    <s v="Excelente"/>
  </r>
  <r>
    <d v="2020-04-28T00:00:00"/>
    <n v="4635"/>
    <x v="3"/>
    <n v="51"/>
    <n v="99.864000000000004"/>
    <x v="0"/>
    <x v="9"/>
    <x v="1"/>
    <x v="2"/>
    <x v="1"/>
    <n v="10"/>
    <n v="1"/>
    <n v="5093.0640000000003"/>
    <x v="0"/>
    <x v="0"/>
    <s v="Excelente"/>
  </r>
  <r>
    <d v="2020-01-20T00:00:00"/>
    <n v="4308"/>
    <x v="7"/>
    <n v="42"/>
    <n v="177.52799999999999"/>
    <x v="1"/>
    <x v="0"/>
    <x v="1"/>
    <x v="3"/>
    <x v="4"/>
    <n v="10"/>
    <n v="0"/>
    <n v="7456.1759999999995"/>
    <x v="1"/>
    <x v="1"/>
    <s v="Excelente"/>
  </r>
  <r>
    <d v="2020-07-06T00:00:00"/>
    <n v="4573"/>
    <x v="2"/>
    <n v="27"/>
    <n v="146.64000000000001"/>
    <x v="0"/>
    <x v="1"/>
    <x v="1"/>
    <x v="3"/>
    <x v="1"/>
    <n v="10"/>
    <n v="0"/>
    <n v="3959.28"/>
    <x v="0"/>
    <x v="1"/>
    <s v="Excelente"/>
  </r>
  <r>
    <d v="2020-09-15T00:00:00"/>
    <n v="4336"/>
    <x v="1"/>
    <n v="6"/>
    <n v="66.972000000000008"/>
    <x v="0"/>
    <x v="2"/>
    <x v="1"/>
    <x v="4"/>
    <x v="3"/>
    <n v="2"/>
    <n v="1"/>
    <n v="401.83200000000005"/>
    <x v="0"/>
    <x v="0"/>
    <s v="Regular"/>
  </r>
  <r>
    <d v="2020-12-18T00:00:00"/>
    <n v="4843"/>
    <x v="2"/>
    <n v="130"/>
    <n v="104.712"/>
    <x v="1"/>
    <x v="3"/>
    <x v="5"/>
    <x v="3"/>
    <x v="1"/>
    <n v="1"/>
    <n v="1"/>
    <n v="13612.560000000001"/>
    <x v="1"/>
    <x v="0"/>
    <s v="Regular"/>
  </r>
  <r>
    <d v="2020-04-11T00:00:00"/>
    <n v="4510"/>
    <x v="4"/>
    <n v="211"/>
    <n v="160.572"/>
    <x v="0"/>
    <x v="4"/>
    <x v="1"/>
    <x v="2"/>
    <x v="3"/>
    <n v="9"/>
    <n v="1"/>
    <n v="33880.692000000003"/>
    <x v="0"/>
    <x v="0"/>
    <s v="Excelente"/>
  </r>
  <r>
    <d v="2020-02-23T00:00:00"/>
    <n v="4835"/>
    <x v="1"/>
    <n v="108"/>
    <n v="215.70000000000002"/>
    <x v="0"/>
    <x v="5"/>
    <x v="3"/>
    <x v="3"/>
    <x v="1"/>
    <n v="2"/>
    <n v="1"/>
    <n v="23295.600000000002"/>
    <x v="0"/>
    <x v="0"/>
    <s v="Regular"/>
  </r>
  <r>
    <d v="2020-06-23T00:00:00"/>
    <n v="4459"/>
    <x v="3"/>
    <n v="126"/>
    <n v="47.76"/>
    <x v="1"/>
    <x v="6"/>
    <x v="1"/>
    <x v="1"/>
    <x v="1"/>
    <n v="6"/>
    <n v="1"/>
    <n v="6017.7599999999993"/>
    <x v="1"/>
    <x v="0"/>
    <s v="Bueno"/>
  </r>
  <r>
    <d v="2020-07-08T00:00:00"/>
    <n v="4445"/>
    <x v="6"/>
    <n v="100"/>
    <n v="217.06800000000001"/>
    <x v="1"/>
    <x v="7"/>
    <x v="1"/>
    <x v="2"/>
    <x v="1"/>
    <n v="7"/>
    <n v="1"/>
    <n v="21706.800000000003"/>
    <x v="1"/>
    <x v="0"/>
    <s v="Bueno"/>
  </r>
  <r>
    <d v="2020-12-29T00:00:00"/>
    <n v="4689"/>
    <x v="7"/>
    <n v="199"/>
    <n v="28.704000000000001"/>
    <x v="0"/>
    <x v="8"/>
    <x v="7"/>
    <x v="1"/>
    <x v="1"/>
    <n v="10"/>
    <n v="1"/>
    <n v="5712.0960000000005"/>
    <x v="0"/>
    <x v="0"/>
    <s v="Excelente"/>
  </r>
  <r>
    <d v="2020-08-25T00:00:00"/>
    <n v="4637"/>
    <x v="9"/>
    <n v="217"/>
    <n v="159.24"/>
    <x v="1"/>
    <x v="9"/>
    <x v="1"/>
    <x v="0"/>
    <x v="1"/>
    <n v="10"/>
    <n v="1"/>
    <n v="34555.08"/>
    <x v="1"/>
    <x v="0"/>
    <s v="Excelente"/>
  </r>
  <r>
    <d v="2020-06-23T00:00:00"/>
    <n v="4299"/>
    <x v="0"/>
    <n v="77"/>
    <n v="52.800000000000004"/>
    <x v="1"/>
    <x v="0"/>
    <x v="1"/>
    <x v="1"/>
    <x v="1"/>
    <n v="10"/>
    <n v="1"/>
    <n v="4065.6000000000004"/>
    <x v="1"/>
    <x v="0"/>
    <s v="Excelente"/>
  </r>
  <r>
    <d v="2020-05-27T00:00:00"/>
    <n v="4376"/>
    <x v="0"/>
    <n v="50"/>
    <n v="162.91200000000001"/>
    <x v="0"/>
    <x v="1"/>
    <x v="1"/>
    <x v="4"/>
    <x v="3"/>
    <n v="8"/>
    <n v="0"/>
    <n v="8145.6"/>
    <x v="0"/>
    <x v="1"/>
    <s v="Bueno"/>
  </r>
  <r>
    <d v="2020-09-11T00:00:00"/>
    <n v="4473"/>
    <x v="7"/>
    <n v="110"/>
    <n v="42.408000000000001"/>
    <x v="1"/>
    <x v="2"/>
    <x v="1"/>
    <x v="3"/>
    <x v="1"/>
    <n v="5"/>
    <n v="0"/>
    <n v="4664.88"/>
    <x v="1"/>
    <x v="1"/>
    <s v="Bueno"/>
  </r>
  <r>
    <d v="2020-12-27T00:00:00"/>
    <n v="4722"/>
    <x v="7"/>
    <n v="21"/>
    <n v="123.16800000000001"/>
    <x v="0"/>
    <x v="3"/>
    <x v="2"/>
    <x v="0"/>
    <x v="3"/>
    <n v="10"/>
    <n v="1"/>
    <n v="2586.5280000000002"/>
    <x v="0"/>
    <x v="0"/>
    <s v="Excelente"/>
  </r>
  <r>
    <d v="2020-10-18T00:00:00"/>
    <n v="4718"/>
    <x v="3"/>
    <n v="47"/>
    <n v="92.100000000000009"/>
    <x v="1"/>
    <x v="4"/>
    <x v="5"/>
    <x v="0"/>
    <x v="3"/>
    <n v="10"/>
    <n v="0"/>
    <n v="4328.7000000000007"/>
    <x v="1"/>
    <x v="1"/>
    <s v="Excelente"/>
  </r>
  <r>
    <d v="2020-11-22T00:00:00"/>
    <n v="4659"/>
    <x v="9"/>
    <n v="208"/>
    <n v="166.03200000000001"/>
    <x v="1"/>
    <x v="5"/>
    <x v="1"/>
    <x v="1"/>
    <x v="1"/>
    <n v="10"/>
    <n v="1"/>
    <n v="34534.656000000003"/>
    <x v="1"/>
    <x v="0"/>
    <s v="Excelente"/>
  </r>
  <r>
    <d v="2020-04-27T00:00:00"/>
    <n v="4943"/>
    <x v="1"/>
    <n v="124"/>
    <n v="67.248000000000005"/>
    <x v="1"/>
    <x v="6"/>
    <x v="5"/>
    <x v="3"/>
    <x v="1"/>
    <n v="6"/>
    <n v="0"/>
    <n v="8338.7520000000004"/>
    <x v="1"/>
    <x v="1"/>
    <s v="Bueno"/>
  </r>
  <r>
    <d v="2020-12-03T00:00:00"/>
    <n v="4324"/>
    <x v="6"/>
    <n v="125"/>
    <n v="123.56400000000001"/>
    <x v="1"/>
    <x v="7"/>
    <x v="1"/>
    <x v="1"/>
    <x v="3"/>
    <n v="4"/>
    <n v="0"/>
    <n v="15445.5"/>
    <x v="1"/>
    <x v="1"/>
    <s v="Regular"/>
  </r>
  <r>
    <d v="2020-03-11T00:00:00"/>
    <n v="4340"/>
    <x v="9"/>
    <n v="229"/>
    <n v="17.088000000000001"/>
    <x v="1"/>
    <x v="8"/>
    <x v="1"/>
    <x v="2"/>
    <x v="3"/>
    <n v="6"/>
    <n v="0"/>
    <n v="3913.152"/>
    <x v="1"/>
    <x v="1"/>
    <s v="Bueno"/>
  </r>
  <r>
    <d v="2020-07-19T00:00:00"/>
    <n v="4517"/>
    <x v="7"/>
    <n v="124"/>
    <n v="123.096"/>
    <x v="1"/>
    <x v="9"/>
    <x v="1"/>
    <x v="0"/>
    <x v="1"/>
    <n v="9"/>
    <n v="0"/>
    <n v="15263.904"/>
    <x v="1"/>
    <x v="1"/>
    <s v="Excelente"/>
  </r>
  <r>
    <d v="2020-02-16T00:00:00"/>
    <n v="4598"/>
    <x v="4"/>
    <n v="10"/>
    <n v="64.680000000000007"/>
    <x v="1"/>
    <x v="0"/>
    <x v="1"/>
    <x v="3"/>
    <x v="3"/>
    <n v="10"/>
    <n v="1"/>
    <n v="646.80000000000007"/>
    <x v="1"/>
    <x v="0"/>
    <s v="Excelente"/>
  </r>
  <r>
    <d v="2020-05-15T00:00:00"/>
    <n v="4207"/>
    <x v="10"/>
    <n v="61"/>
    <n v="101.84400000000001"/>
    <x v="0"/>
    <x v="1"/>
    <x v="1"/>
    <x v="0"/>
    <x v="2"/>
    <n v="5"/>
    <n v="1"/>
    <n v="6212.4840000000004"/>
    <x v="0"/>
    <x v="0"/>
    <s v="Bueno"/>
  </r>
  <r>
    <d v="2020-04-21T00:00:00"/>
    <n v="4295"/>
    <x v="10"/>
    <n v="138"/>
    <n v="59.736000000000004"/>
    <x v="0"/>
    <x v="2"/>
    <x v="1"/>
    <x v="2"/>
    <x v="0"/>
    <n v="1"/>
    <n v="0"/>
    <n v="8243.5680000000011"/>
    <x v="0"/>
    <x v="1"/>
    <s v="Regular"/>
  </r>
  <r>
    <d v="2020-08-29T00:00:00"/>
    <n v="4458"/>
    <x v="5"/>
    <n v="34"/>
    <n v="86.4"/>
    <x v="1"/>
    <x v="3"/>
    <x v="1"/>
    <x v="3"/>
    <x v="3"/>
    <n v="3"/>
    <n v="1"/>
    <n v="2937.6000000000004"/>
    <x v="1"/>
    <x v="0"/>
    <s v="Regular"/>
  </r>
  <r>
    <d v="2020-11-17T00:00:00"/>
    <n v="4322"/>
    <x v="8"/>
    <n v="161"/>
    <n v="131.34"/>
    <x v="1"/>
    <x v="4"/>
    <x v="1"/>
    <x v="0"/>
    <x v="3"/>
    <n v="4"/>
    <n v="0"/>
    <n v="21145.74"/>
    <x v="1"/>
    <x v="1"/>
    <s v="Regular"/>
  </r>
  <r>
    <d v="2020-02-26T00:00:00"/>
    <n v="5019"/>
    <x v="0"/>
    <n v="142"/>
    <n v="131.65200000000002"/>
    <x v="0"/>
    <x v="5"/>
    <x v="7"/>
    <x v="3"/>
    <x v="4"/>
    <n v="6"/>
    <n v="1"/>
    <n v="18694.584000000003"/>
    <x v="0"/>
    <x v="0"/>
    <s v="Bueno"/>
  </r>
  <r>
    <d v="2020-10-15T00:00:00"/>
    <n v="4499"/>
    <x v="4"/>
    <n v="40"/>
    <n v="102.21600000000001"/>
    <x v="1"/>
    <x v="6"/>
    <x v="1"/>
    <x v="1"/>
    <x v="1"/>
    <n v="4"/>
    <n v="0"/>
    <n v="4088.6400000000003"/>
    <x v="1"/>
    <x v="1"/>
    <s v="Regular"/>
  </r>
  <r>
    <d v="2020-10-15T00:00:00"/>
    <n v="4507"/>
    <x v="2"/>
    <n v="223"/>
    <n v="100.548"/>
    <x v="1"/>
    <x v="7"/>
    <x v="1"/>
    <x v="0"/>
    <x v="1"/>
    <n v="2"/>
    <n v="0"/>
    <n v="22422.204000000002"/>
    <x v="1"/>
    <x v="1"/>
    <s v="Regular"/>
  </r>
  <r>
    <d v="2020-12-10T00:00:00"/>
    <n v="4758"/>
    <x v="7"/>
    <n v="76"/>
    <n v="211.404"/>
    <x v="1"/>
    <x v="8"/>
    <x v="5"/>
    <x v="0"/>
    <x v="3"/>
    <n v="7"/>
    <n v="1"/>
    <n v="16066.704"/>
    <x v="1"/>
    <x v="0"/>
    <s v="Bueno"/>
  </r>
  <r>
    <d v="2020-01-08T00:00:00"/>
    <n v="4393"/>
    <x v="3"/>
    <n v="16"/>
    <n v="129.99600000000001"/>
    <x v="1"/>
    <x v="9"/>
    <x v="1"/>
    <x v="3"/>
    <x v="1"/>
    <n v="5"/>
    <n v="0"/>
    <n v="2079.9360000000001"/>
    <x v="1"/>
    <x v="1"/>
    <s v="Bueno"/>
  </r>
  <r>
    <d v="2020-12-23T00:00:00"/>
    <n v="4651"/>
    <x v="0"/>
    <n v="156"/>
    <n v="147.096"/>
    <x v="1"/>
    <x v="0"/>
    <x v="1"/>
    <x v="4"/>
    <x v="1"/>
    <n v="10"/>
    <n v="1"/>
    <n v="22946.976000000002"/>
    <x v="1"/>
    <x v="0"/>
    <s v="Excelente"/>
  </r>
  <r>
    <d v="2020-03-09T00:00:00"/>
    <n v="5011"/>
    <x v="2"/>
    <n v="7"/>
    <n v="213.852"/>
    <x v="0"/>
    <x v="1"/>
    <x v="4"/>
    <x v="3"/>
    <x v="4"/>
    <n v="6"/>
    <n v="0"/>
    <n v="1496.9639999999999"/>
    <x v="0"/>
    <x v="1"/>
    <s v="Bueno"/>
  </r>
  <r>
    <d v="2020-09-07T00:00:00"/>
    <n v="5006"/>
    <x v="1"/>
    <n v="9"/>
    <n v="164.11199999999999"/>
    <x v="1"/>
    <x v="2"/>
    <x v="4"/>
    <x v="0"/>
    <x v="0"/>
    <n v="6"/>
    <n v="0"/>
    <n v="1477.008"/>
    <x v="1"/>
    <x v="1"/>
    <s v="Bueno"/>
  </r>
  <r>
    <d v="2020-11-14T00:00:00"/>
    <n v="4657"/>
    <x v="3"/>
    <n v="62"/>
    <n v="181.584"/>
    <x v="1"/>
    <x v="3"/>
    <x v="1"/>
    <x v="0"/>
    <x v="1"/>
    <n v="10"/>
    <n v="0"/>
    <n v="11258.208000000001"/>
    <x v="1"/>
    <x v="1"/>
    <s v="Excelente"/>
  </r>
  <r>
    <d v="2020-05-09T00:00:00"/>
    <n v="4751"/>
    <x v="3"/>
    <n v="68"/>
    <n v="11.052"/>
    <x v="1"/>
    <x v="4"/>
    <x v="4"/>
    <x v="3"/>
    <x v="1"/>
    <n v="7"/>
    <n v="1"/>
    <n v="751.53599999999994"/>
    <x v="1"/>
    <x v="0"/>
    <s v="Bueno"/>
  </r>
  <r>
    <d v="2020-05-04T00:00:00"/>
    <n v="4979"/>
    <x v="1"/>
    <n v="76"/>
    <n v="99.444000000000003"/>
    <x v="1"/>
    <x v="5"/>
    <x v="7"/>
    <x v="3"/>
    <x v="4"/>
    <n v="6"/>
    <n v="0"/>
    <n v="7557.7440000000006"/>
    <x v="1"/>
    <x v="1"/>
    <s v="Bueno"/>
  </r>
  <r>
    <d v="2020-11-05T00:00:00"/>
    <n v="4669"/>
    <x v="10"/>
    <n v="78"/>
    <n v="223.70400000000001"/>
    <x v="1"/>
    <x v="6"/>
    <x v="1"/>
    <x v="1"/>
    <x v="1"/>
    <n v="10"/>
    <n v="1"/>
    <n v="17448.912"/>
    <x v="1"/>
    <x v="0"/>
    <s v="Excelente"/>
  </r>
  <r>
    <d v="2020-05-07T00:00:00"/>
    <n v="4886"/>
    <x v="1"/>
    <n v="11"/>
    <n v="104.988"/>
    <x v="1"/>
    <x v="7"/>
    <x v="4"/>
    <x v="0"/>
    <x v="3"/>
    <n v="6"/>
    <n v="0"/>
    <n v="1154.8679999999999"/>
    <x v="1"/>
    <x v="1"/>
    <s v="Bueno"/>
  </r>
  <r>
    <d v="2020-07-15T00:00:00"/>
    <n v="4704"/>
    <x v="7"/>
    <n v="5"/>
    <n v="228.22800000000001"/>
    <x v="1"/>
    <x v="8"/>
    <x v="7"/>
    <x v="1"/>
    <x v="3"/>
    <n v="10"/>
    <n v="0"/>
    <n v="1141.1400000000001"/>
    <x v="1"/>
    <x v="1"/>
    <s v="Excelente"/>
  </r>
  <r>
    <d v="2020-10-27T00:00:00"/>
    <n v="4773"/>
    <x v="0"/>
    <n v="27"/>
    <n v="221.04"/>
    <x v="1"/>
    <x v="9"/>
    <x v="5"/>
    <x v="3"/>
    <x v="1"/>
    <n v="7"/>
    <n v="0"/>
    <n v="5968.08"/>
    <x v="1"/>
    <x v="1"/>
    <s v="Bueno"/>
  </r>
  <r>
    <d v="2020-02-16T00:00:00"/>
    <n v="4815"/>
    <x v="0"/>
    <n v="18"/>
    <n v="86.135999999999996"/>
    <x v="0"/>
    <x v="0"/>
    <x v="3"/>
    <x v="3"/>
    <x v="1"/>
    <n v="2"/>
    <n v="1"/>
    <n v="1550.4479999999999"/>
    <x v="0"/>
    <x v="0"/>
    <s v="Regular"/>
  </r>
  <r>
    <d v="2020-12-06T00:00:00"/>
    <n v="4802"/>
    <x v="1"/>
    <n v="66"/>
    <n v="95.832000000000008"/>
    <x v="0"/>
    <x v="1"/>
    <x v="2"/>
    <x v="0"/>
    <x v="3"/>
    <n v="7"/>
    <n v="1"/>
    <n v="6324.9120000000003"/>
    <x v="0"/>
    <x v="0"/>
    <s v="Bueno"/>
  </r>
  <r>
    <d v="2020-09-16T00:00:00"/>
    <n v="4644"/>
    <x v="1"/>
    <n v="217"/>
    <n v="61.2"/>
    <x v="0"/>
    <x v="2"/>
    <x v="1"/>
    <x v="1"/>
    <x v="3"/>
    <n v="10"/>
    <n v="0"/>
    <n v="13280.400000000001"/>
    <x v="0"/>
    <x v="1"/>
    <s v="Excelente"/>
  </r>
  <r>
    <d v="2020-04-21T00:00:00"/>
    <n v="4257"/>
    <x v="4"/>
    <n v="91"/>
    <n v="136.99199999999999"/>
    <x v="1"/>
    <x v="3"/>
    <x v="1"/>
    <x v="0"/>
    <x v="1"/>
    <n v="10"/>
    <n v="1"/>
    <n v="12466.271999999999"/>
    <x v="1"/>
    <x v="0"/>
    <s v="Excelente"/>
  </r>
  <r>
    <d v="2020-09-21T00:00:00"/>
    <n v="4471"/>
    <x v="10"/>
    <n v="216"/>
    <n v="174.56399999999999"/>
    <x v="0"/>
    <x v="4"/>
    <x v="1"/>
    <x v="4"/>
    <x v="1"/>
    <n v="9"/>
    <n v="0"/>
    <n v="37705.824000000001"/>
    <x v="0"/>
    <x v="1"/>
    <s v="Excelente"/>
  </r>
  <r>
    <d v="2020-06-16T00:00:00"/>
    <n v="4896"/>
    <x v="0"/>
    <n v="5"/>
    <n v="206.172"/>
    <x v="0"/>
    <x v="5"/>
    <x v="4"/>
    <x v="0"/>
    <x v="3"/>
    <n v="6"/>
    <n v="0"/>
    <n v="1030.8599999999999"/>
    <x v="0"/>
    <x v="1"/>
    <s v="Bueno"/>
  </r>
  <r>
    <d v="2020-09-19T00:00:00"/>
    <n v="4180"/>
    <x v="4"/>
    <n v="195"/>
    <n v="191.124"/>
    <x v="1"/>
    <x v="6"/>
    <x v="1"/>
    <x v="2"/>
    <x v="5"/>
    <n v="1"/>
    <n v="1"/>
    <n v="37269.18"/>
    <x v="1"/>
    <x v="0"/>
    <s v="Regular"/>
  </r>
  <r>
    <d v="2020-08-11T00:00:00"/>
    <n v="4172"/>
    <x v="5"/>
    <n v="210"/>
    <n v="142.20000000000002"/>
    <x v="1"/>
    <x v="7"/>
    <x v="1"/>
    <x v="0"/>
    <x v="3"/>
    <n v="5"/>
    <n v="0"/>
    <n v="29862.000000000004"/>
    <x v="1"/>
    <x v="1"/>
    <s v="Bueno"/>
  </r>
  <r>
    <d v="2020-03-14T00:00:00"/>
    <n v="4249"/>
    <x v="5"/>
    <n v="56"/>
    <n v="153.048"/>
    <x v="0"/>
    <x v="8"/>
    <x v="1"/>
    <x v="1"/>
    <x v="2"/>
    <n v="9"/>
    <n v="1"/>
    <n v="8570.6880000000001"/>
    <x v="0"/>
    <x v="0"/>
    <s v="Excelente"/>
  </r>
  <r>
    <d v="2020-08-14T00:00:00"/>
    <n v="4841"/>
    <x v="1"/>
    <n v="78"/>
    <n v="151.11600000000001"/>
    <x v="1"/>
    <x v="9"/>
    <x v="4"/>
    <x v="3"/>
    <x v="1"/>
    <n v="1"/>
    <n v="1"/>
    <n v="11787.048000000001"/>
    <x v="1"/>
    <x v="0"/>
    <s v="Regular"/>
  </r>
  <r>
    <d v="2020-12-23T00:00:00"/>
    <n v="4226"/>
    <x v="1"/>
    <n v="11"/>
    <n v="153.45600000000002"/>
    <x v="1"/>
    <x v="0"/>
    <x v="1"/>
    <x v="4"/>
    <x v="3"/>
    <n v="3"/>
    <n v="0"/>
    <n v="1688.0160000000001"/>
    <x v="1"/>
    <x v="1"/>
    <s v="Regular"/>
  </r>
  <r>
    <d v="2020-05-19T00:00:00"/>
    <n v="4548"/>
    <x v="10"/>
    <n v="138"/>
    <n v="182.67600000000002"/>
    <x v="0"/>
    <x v="1"/>
    <x v="1"/>
    <x v="3"/>
    <x v="3"/>
    <n v="10"/>
    <n v="1"/>
    <n v="25209.288"/>
    <x v="0"/>
    <x v="0"/>
    <s v="Excelente"/>
  </r>
  <r>
    <d v="2020-02-07T00:00:00"/>
    <n v="4472"/>
    <x v="9"/>
    <n v="28"/>
    <n v="1.4040000000000001"/>
    <x v="1"/>
    <x v="2"/>
    <x v="1"/>
    <x v="0"/>
    <x v="3"/>
    <n v="4"/>
    <n v="0"/>
    <n v="39.312000000000005"/>
    <x v="1"/>
    <x v="1"/>
    <s v="Regular"/>
  </r>
  <r>
    <d v="2020-05-21T00:00:00"/>
    <n v="4212"/>
    <x v="8"/>
    <n v="196"/>
    <n v="221.85599999999999"/>
    <x v="0"/>
    <x v="3"/>
    <x v="1"/>
    <x v="0"/>
    <x v="4"/>
    <n v="6"/>
    <n v="1"/>
    <n v="43483.775999999998"/>
    <x v="0"/>
    <x v="0"/>
    <s v="Bueno"/>
  </r>
  <r>
    <d v="2020-06-11T00:00:00"/>
    <n v="4572"/>
    <x v="7"/>
    <n v="49"/>
    <n v="110.004"/>
    <x v="0"/>
    <x v="4"/>
    <x v="1"/>
    <x v="0"/>
    <x v="3"/>
    <n v="10"/>
    <n v="1"/>
    <n v="5390.1959999999999"/>
    <x v="0"/>
    <x v="0"/>
    <s v="Excelente"/>
  </r>
  <r>
    <d v="2020-11-07T00:00:00"/>
    <n v="4422"/>
    <x v="4"/>
    <n v="194"/>
    <n v="99.012"/>
    <x v="0"/>
    <x v="5"/>
    <x v="1"/>
    <x v="0"/>
    <x v="3"/>
    <n v="2"/>
    <n v="1"/>
    <n v="19208.328000000001"/>
    <x v="0"/>
    <x v="0"/>
    <s v="Regular"/>
  </r>
  <r>
    <d v="2020-12-12T00:00:00"/>
    <n v="5002"/>
    <x v="2"/>
    <n v="43"/>
    <n v="54.84"/>
    <x v="0"/>
    <x v="6"/>
    <x v="2"/>
    <x v="0"/>
    <x v="0"/>
    <n v="6"/>
    <n v="0"/>
    <n v="2358.1200000000003"/>
    <x v="0"/>
    <x v="1"/>
    <s v="Bueno"/>
  </r>
  <r>
    <d v="2020-07-20T00:00:00"/>
    <n v="4479"/>
    <x v="1"/>
    <n v="194"/>
    <n v="191.916"/>
    <x v="0"/>
    <x v="7"/>
    <x v="1"/>
    <x v="1"/>
    <x v="1"/>
    <n v="4"/>
    <n v="1"/>
    <n v="37231.703999999998"/>
    <x v="0"/>
    <x v="0"/>
    <s v="Regular"/>
  </r>
  <r>
    <d v="2020-07-29T00:00:00"/>
    <n v="4209"/>
    <x v="7"/>
    <n v="192"/>
    <n v="13.836"/>
    <x v="1"/>
    <x v="8"/>
    <x v="1"/>
    <x v="1"/>
    <x v="1"/>
    <n v="6"/>
    <n v="0"/>
    <n v="2656.5120000000002"/>
    <x v="1"/>
    <x v="1"/>
    <s v="Bueno"/>
  </r>
  <r>
    <d v="2020-04-08T00:00:00"/>
    <n v="4785"/>
    <x v="0"/>
    <n v="142"/>
    <n v="72.516000000000005"/>
    <x v="1"/>
    <x v="9"/>
    <x v="3"/>
    <x v="3"/>
    <x v="1"/>
    <n v="7"/>
    <n v="1"/>
    <n v="10297.272000000001"/>
    <x v="1"/>
    <x v="0"/>
    <s v="Bueno"/>
  </r>
  <r>
    <d v="2020-04-17T00:00:00"/>
    <n v="4969"/>
    <x v="2"/>
    <n v="66"/>
    <n v="136.44"/>
    <x v="1"/>
    <x v="0"/>
    <x v="7"/>
    <x v="3"/>
    <x v="4"/>
    <n v="6"/>
    <n v="0"/>
    <n v="9005.0399999999991"/>
    <x v="1"/>
    <x v="1"/>
    <s v="Bueno"/>
  </r>
  <r>
    <d v="2020-04-16T00:00:00"/>
    <n v="4974"/>
    <x v="0"/>
    <n v="125"/>
    <n v="4.2359999999999998"/>
    <x v="1"/>
    <x v="1"/>
    <x v="7"/>
    <x v="0"/>
    <x v="0"/>
    <n v="6"/>
    <n v="0"/>
    <n v="529.5"/>
    <x v="1"/>
    <x v="1"/>
    <s v="Bueno"/>
  </r>
  <r>
    <d v="2020-07-11T00:00:00"/>
    <n v="4578"/>
    <x v="1"/>
    <n v="208"/>
    <n v="152.88"/>
    <x v="1"/>
    <x v="2"/>
    <x v="1"/>
    <x v="3"/>
    <x v="3"/>
    <n v="10"/>
    <n v="1"/>
    <n v="31799.040000000001"/>
    <x v="1"/>
    <x v="0"/>
    <s v="Excelente"/>
  </r>
  <r>
    <d v="2020-12-19T00:00:00"/>
    <n v="4703"/>
    <x v="3"/>
    <n v="87"/>
    <n v="40.956000000000003"/>
    <x v="1"/>
    <x v="3"/>
    <x v="5"/>
    <x v="3"/>
    <x v="1"/>
    <n v="10"/>
    <n v="1"/>
    <n v="3563.1720000000005"/>
    <x v="1"/>
    <x v="0"/>
    <s v="Excelente"/>
  </r>
  <r>
    <d v="2020-01-22T00:00:00"/>
    <n v="4859"/>
    <x v="1"/>
    <n v="220"/>
    <n v="221.66400000000002"/>
    <x v="0"/>
    <x v="4"/>
    <x v="7"/>
    <x v="3"/>
    <x v="1"/>
    <n v="1"/>
    <n v="1"/>
    <n v="48766.080000000002"/>
    <x v="0"/>
    <x v="0"/>
    <s v="Regular"/>
  </r>
  <r>
    <d v="2020-09-14T00:00:00"/>
    <n v="4903"/>
    <x v="2"/>
    <n v="63"/>
    <n v="144.96"/>
    <x v="0"/>
    <x v="5"/>
    <x v="5"/>
    <x v="3"/>
    <x v="1"/>
    <n v="6"/>
    <n v="0"/>
    <n v="9132.4800000000014"/>
    <x v="0"/>
    <x v="1"/>
    <s v="Bueno"/>
  </r>
  <r>
    <d v="2020-09-24T00:00:00"/>
    <n v="4900"/>
    <x v="2"/>
    <n v="168"/>
    <n v="220.09200000000001"/>
    <x v="0"/>
    <x v="6"/>
    <x v="3"/>
    <x v="0"/>
    <x v="3"/>
    <n v="6"/>
    <n v="0"/>
    <n v="36975.456000000006"/>
    <x v="0"/>
    <x v="1"/>
    <s v="Bueno"/>
  </r>
  <r>
    <d v="2020-03-07T00:00:00"/>
    <n v="4355"/>
    <x v="8"/>
    <n v="221"/>
    <n v="142.20000000000002"/>
    <x v="0"/>
    <x v="7"/>
    <x v="1"/>
    <x v="2"/>
    <x v="1"/>
    <n v="10"/>
    <n v="0"/>
    <n v="31426.200000000004"/>
    <x v="0"/>
    <x v="1"/>
    <s v="Excelente"/>
  </r>
  <r>
    <d v="2020-11-25T00:00:00"/>
    <n v="4633"/>
    <x v="1"/>
    <n v="5"/>
    <n v="211.02"/>
    <x v="0"/>
    <x v="8"/>
    <x v="1"/>
    <x v="3"/>
    <x v="1"/>
    <n v="10"/>
    <n v="1"/>
    <n v="1055.1000000000001"/>
    <x v="0"/>
    <x v="0"/>
    <s v="Excelente"/>
  </r>
  <r>
    <d v="2020-06-18T00:00:00"/>
    <n v="4589"/>
    <x v="1"/>
    <n v="57"/>
    <n v="214.8"/>
    <x v="0"/>
    <x v="9"/>
    <x v="1"/>
    <x v="1"/>
    <x v="1"/>
    <n v="10"/>
    <n v="1"/>
    <n v="12243.6"/>
    <x v="0"/>
    <x v="0"/>
    <s v="Excelente"/>
  </r>
  <r>
    <d v="2020-10-25T00:00:00"/>
    <n v="5038"/>
    <x v="2"/>
    <n v="14"/>
    <n v="76.475999999999999"/>
    <x v="0"/>
    <x v="0"/>
    <x v="0"/>
    <x v="0"/>
    <x v="0"/>
    <n v="7"/>
    <n v="1"/>
    <n v="1070.664"/>
    <x v="0"/>
    <x v="0"/>
    <s v="Bueno"/>
  </r>
  <r>
    <d v="2020-04-27T00:00:00"/>
    <n v="5050"/>
    <x v="2"/>
    <n v="150"/>
    <n v="165.06"/>
    <x v="1"/>
    <x v="1"/>
    <x v="0"/>
    <x v="0"/>
    <x v="0"/>
    <n v="7"/>
    <n v="1"/>
    <n v="24759"/>
    <x v="1"/>
    <x v="0"/>
    <s v="Bueno"/>
  </r>
  <r>
    <d v="2020-12-19T00:00:00"/>
    <n v="5010"/>
    <x v="0"/>
    <n v="224"/>
    <n v="29.052"/>
    <x v="0"/>
    <x v="2"/>
    <x v="3"/>
    <x v="0"/>
    <x v="0"/>
    <n v="6"/>
    <n v="0"/>
    <n v="6507.6480000000001"/>
    <x v="0"/>
    <x v="1"/>
    <s v="Bueno"/>
  </r>
  <r>
    <d v="2020-12-03T00:00:00"/>
    <n v="4390"/>
    <x v="6"/>
    <n v="120"/>
    <n v="4.0680000000000005"/>
    <x v="0"/>
    <x v="3"/>
    <x v="1"/>
    <x v="2"/>
    <x v="3"/>
    <n v="5"/>
    <n v="1"/>
    <n v="488.16000000000008"/>
    <x v="0"/>
    <x v="0"/>
    <s v="Bueno"/>
  </r>
  <r>
    <d v="2020-11-05T00:00:00"/>
    <n v="4247"/>
    <x v="6"/>
    <n v="160"/>
    <n v="107.628"/>
    <x v="1"/>
    <x v="4"/>
    <x v="1"/>
    <x v="0"/>
    <x v="0"/>
    <n v="6"/>
    <n v="1"/>
    <n v="17220.48"/>
    <x v="1"/>
    <x v="0"/>
    <s v="Bueno"/>
  </r>
  <r>
    <d v="2020-02-08T00:00:00"/>
    <n v="4834"/>
    <x v="2"/>
    <n v="38"/>
    <n v="200.892"/>
    <x v="1"/>
    <x v="5"/>
    <x v="7"/>
    <x v="0"/>
    <x v="3"/>
    <n v="2"/>
    <n v="1"/>
    <n v="7633.8959999999997"/>
    <x v="1"/>
    <x v="0"/>
    <s v="Regular"/>
  </r>
  <r>
    <d v="2020-08-25T00:00:00"/>
    <n v="4908"/>
    <x v="0"/>
    <n v="46"/>
    <n v="224.892"/>
    <x v="0"/>
    <x v="6"/>
    <x v="5"/>
    <x v="0"/>
    <x v="3"/>
    <n v="6"/>
    <n v="0"/>
    <n v="10345.031999999999"/>
    <x v="0"/>
    <x v="1"/>
    <s v="Bueno"/>
  </r>
  <r>
    <d v="2020-10-13T00:00:00"/>
    <n v="4417"/>
    <x v="9"/>
    <n v="68"/>
    <n v="154.05600000000001"/>
    <x v="0"/>
    <x v="7"/>
    <x v="1"/>
    <x v="0"/>
    <x v="1"/>
    <n v="4"/>
    <n v="0"/>
    <n v="10475.808000000001"/>
    <x v="0"/>
    <x v="1"/>
    <s v="Regular"/>
  </r>
  <r>
    <d v="2020-03-12T00:00:00"/>
    <n v="4252"/>
    <x v="9"/>
    <n v="177"/>
    <n v="193.21200000000002"/>
    <x v="0"/>
    <x v="8"/>
    <x v="1"/>
    <x v="0"/>
    <x v="5"/>
    <n v="8"/>
    <n v="1"/>
    <n v="34198.524000000005"/>
    <x v="0"/>
    <x v="0"/>
    <s v="Bueno"/>
  </r>
  <r>
    <d v="2020-07-29T00:00:00"/>
    <n v="4608"/>
    <x v="8"/>
    <n v="56"/>
    <n v="5.9880000000000004"/>
    <x v="1"/>
    <x v="9"/>
    <x v="1"/>
    <x v="3"/>
    <x v="3"/>
    <n v="10"/>
    <n v="1"/>
    <n v="335.32800000000003"/>
    <x v="1"/>
    <x v="0"/>
    <s v="Excelente"/>
  </r>
  <r>
    <d v="2020-01-15T00:00:00"/>
    <n v="4488"/>
    <x v="4"/>
    <n v="201"/>
    <n v="187.82400000000001"/>
    <x v="1"/>
    <x v="0"/>
    <x v="1"/>
    <x v="3"/>
    <x v="3"/>
    <n v="8"/>
    <n v="0"/>
    <n v="37752.624000000003"/>
    <x v="1"/>
    <x v="1"/>
    <s v="Bueno"/>
  </r>
  <r>
    <d v="2020-05-05T00:00:00"/>
    <n v="5009"/>
    <x v="1"/>
    <n v="174"/>
    <n v="11.124000000000001"/>
    <x v="0"/>
    <x v="1"/>
    <x v="7"/>
    <x v="3"/>
    <x v="4"/>
    <n v="6"/>
    <n v="0"/>
    <n v="1935.576"/>
    <x v="0"/>
    <x v="1"/>
    <s v="Bueno"/>
  </r>
  <r>
    <d v="2020-10-14T00:00:00"/>
    <n v="4586"/>
    <x v="8"/>
    <n v="208"/>
    <n v="145.84800000000001"/>
    <x v="0"/>
    <x v="2"/>
    <x v="1"/>
    <x v="4"/>
    <x v="3"/>
    <n v="10"/>
    <n v="0"/>
    <n v="30336.384000000002"/>
    <x v="0"/>
    <x v="1"/>
    <s v="Excelente"/>
  </r>
  <r>
    <d v="2020-05-10T00:00:00"/>
    <n v="5027"/>
    <x v="1"/>
    <n v="41"/>
    <n v="27.744"/>
    <x v="0"/>
    <x v="3"/>
    <x v="2"/>
    <x v="3"/>
    <x v="4"/>
    <n v="6"/>
    <n v="1"/>
    <n v="1137.5039999999999"/>
    <x v="0"/>
    <x v="0"/>
    <s v="Bueno"/>
  </r>
  <r>
    <d v="2020-01-10T00:00:00"/>
    <n v="4833"/>
    <x v="0"/>
    <n v="68"/>
    <n v="128.66400000000002"/>
    <x v="0"/>
    <x v="4"/>
    <x v="5"/>
    <x v="3"/>
    <x v="1"/>
    <n v="2"/>
    <n v="1"/>
    <n v="8749.1520000000019"/>
    <x v="0"/>
    <x v="0"/>
    <s v="Regular"/>
  </r>
  <r>
    <d v="2020-03-12T00:00:00"/>
    <n v="4277"/>
    <x v="0"/>
    <n v="8"/>
    <n v="96.468000000000004"/>
    <x v="0"/>
    <x v="5"/>
    <x v="1"/>
    <x v="0"/>
    <x v="0"/>
    <n v="8"/>
    <n v="0"/>
    <n v="771.74400000000003"/>
    <x v="0"/>
    <x v="1"/>
    <s v="Bueno"/>
  </r>
  <r>
    <d v="2020-01-01T00:00:00"/>
    <n v="5026"/>
    <x v="2"/>
    <n v="77"/>
    <n v="42.756"/>
    <x v="1"/>
    <x v="6"/>
    <x v="4"/>
    <x v="0"/>
    <x v="0"/>
    <n v="6"/>
    <n v="1"/>
    <n v="3292.212"/>
    <x v="1"/>
    <x v="0"/>
    <s v="Bueno"/>
  </r>
  <r>
    <d v="2020-11-12T00:00:00"/>
    <n v="4675"/>
    <x v="4"/>
    <n v="159"/>
    <n v="130.536"/>
    <x v="1"/>
    <x v="7"/>
    <x v="1"/>
    <x v="2"/>
    <x v="1"/>
    <n v="10"/>
    <n v="0"/>
    <n v="20755.224000000002"/>
    <x v="1"/>
    <x v="1"/>
    <s v="Excelente"/>
  </r>
  <r>
    <d v="2020-02-24T00:00:00"/>
    <n v="4347"/>
    <x v="1"/>
    <n v="13"/>
    <n v="216.92400000000001"/>
    <x v="0"/>
    <x v="8"/>
    <x v="1"/>
    <x v="0"/>
    <x v="1"/>
    <n v="10"/>
    <n v="1"/>
    <n v="2820.0120000000002"/>
    <x v="0"/>
    <x v="0"/>
    <s v="Excelente"/>
  </r>
  <r>
    <d v="2020-08-01T00:00:00"/>
    <n v="4346"/>
    <x v="6"/>
    <n v="22"/>
    <n v="63.384"/>
    <x v="1"/>
    <x v="9"/>
    <x v="1"/>
    <x v="4"/>
    <x v="3"/>
    <n v="8"/>
    <n v="0"/>
    <n v="1394.4480000000001"/>
    <x v="1"/>
    <x v="1"/>
    <s v="Bueno"/>
  </r>
  <r>
    <d v="2020-02-06T00:00:00"/>
    <n v="4313"/>
    <x v="6"/>
    <n v="45"/>
    <n v="132.49199999999999"/>
    <x v="1"/>
    <x v="0"/>
    <x v="1"/>
    <x v="3"/>
    <x v="1"/>
    <n v="8"/>
    <n v="0"/>
    <n v="5962.1399999999994"/>
    <x v="1"/>
    <x v="1"/>
    <s v="Bueno"/>
  </r>
  <r>
    <d v="2020-03-08T00:00:00"/>
    <n v="4918"/>
    <x v="2"/>
    <n v="81"/>
    <n v="229.78800000000001"/>
    <x v="0"/>
    <x v="1"/>
    <x v="5"/>
    <x v="0"/>
    <x v="3"/>
    <n v="6"/>
    <n v="0"/>
    <n v="18612.828000000001"/>
    <x v="0"/>
    <x v="1"/>
    <s v="Bueno"/>
  </r>
  <r>
    <d v="2020-08-22T00:00:00"/>
    <n v="4241"/>
    <x v="9"/>
    <n v="81"/>
    <n v="182.52"/>
    <x v="1"/>
    <x v="2"/>
    <x v="1"/>
    <x v="4"/>
    <x v="0"/>
    <n v="4"/>
    <n v="0"/>
    <n v="14784.12"/>
    <x v="1"/>
    <x v="1"/>
    <s v="Regular"/>
  </r>
  <r>
    <d v="2020-01-03T00:00:00"/>
    <n v="4529"/>
    <x v="2"/>
    <n v="58"/>
    <n v="27.852"/>
    <x v="0"/>
    <x v="3"/>
    <x v="1"/>
    <x v="1"/>
    <x v="1"/>
    <n v="8"/>
    <n v="0"/>
    <n v="1615.4159999999999"/>
    <x v="0"/>
    <x v="1"/>
    <s v="Bueno"/>
  </r>
  <r>
    <d v="2020-06-26T00:00:00"/>
    <n v="4928"/>
    <x v="1"/>
    <n v="200"/>
    <n v="203.47200000000001"/>
    <x v="0"/>
    <x v="4"/>
    <x v="5"/>
    <x v="0"/>
    <x v="3"/>
    <n v="6"/>
    <n v="0"/>
    <n v="40694.400000000001"/>
    <x v="0"/>
    <x v="1"/>
    <s v="Bueno"/>
  </r>
  <r>
    <d v="2020-07-24T00:00:00"/>
    <n v="4470"/>
    <x v="3"/>
    <n v="186"/>
    <n v="96.78"/>
    <x v="0"/>
    <x v="5"/>
    <x v="1"/>
    <x v="2"/>
    <x v="3"/>
    <n v="2"/>
    <n v="1"/>
    <n v="18001.080000000002"/>
    <x v="0"/>
    <x v="0"/>
    <s v="Regular"/>
  </r>
  <r>
    <d v="2020-11-13T00:00:00"/>
    <n v="4523"/>
    <x v="1"/>
    <n v="64"/>
    <n v="198.88800000000001"/>
    <x v="0"/>
    <x v="6"/>
    <x v="1"/>
    <x v="3"/>
    <x v="1"/>
    <n v="8"/>
    <n v="0"/>
    <n v="12728.832"/>
    <x v="0"/>
    <x v="1"/>
    <s v="Bueno"/>
  </r>
  <r>
    <d v="2020-11-28T00:00:00"/>
    <n v="4484"/>
    <x v="7"/>
    <n v="95"/>
    <n v="6.9960000000000004"/>
    <x v="1"/>
    <x v="7"/>
    <x v="1"/>
    <x v="1"/>
    <x v="3"/>
    <n v="1"/>
    <n v="0"/>
    <n v="664.62"/>
    <x v="1"/>
    <x v="1"/>
    <s v="Regular"/>
  </r>
  <r>
    <d v="2020-09-10T00:00:00"/>
    <n v="4415"/>
    <x v="3"/>
    <n v="25"/>
    <n v="50.22"/>
    <x v="1"/>
    <x v="8"/>
    <x v="1"/>
    <x v="2"/>
    <x v="1"/>
    <n v="9"/>
    <n v="1"/>
    <n v="1255.5"/>
    <x v="1"/>
    <x v="0"/>
    <s v="Excelente"/>
  </r>
  <r>
    <d v="2020-10-22T00:00:00"/>
    <n v="4798"/>
    <x v="2"/>
    <n v="160"/>
    <n v="37.008000000000003"/>
    <x v="1"/>
    <x v="9"/>
    <x v="5"/>
    <x v="0"/>
    <x v="3"/>
    <n v="7"/>
    <n v="0"/>
    <n v="5921.2800000000007"/>
    <x v="1"/>
    <x v="1"/>
    <s v="Bueno"/>
  </r>
  <r>
    <d v="2020-03-05T00:00:00"/>
    <n v="4549"/>
    <x v="9"/>
    <n v="184"/>
    <n v="152.62800000000001"/>
    <x v="1"/>
    <x v="0"/>
    <x v="1"/>
    <x v="1"/>
    <x v="1"/>
    <n v="10"/>
    <n v="1"/>
    <n v="28083.552000000003"/>
    <x v="1"/>
    <x v="0"/>
    <s v="Excelente"/>
  </r>
  <r>
    <d v="2020-05-15T00:00:00"/>
    <n v="4423"/>
    <x v="6"/>
    <n v="179"/>
    <n v="202.95600000000002"/>
    <x v="1"/>
    <x v="1"/>
    <x v="1"/>
    <x v="3"/>
    <x v="1"/>
    <n v="4"/>
    <n v="1"/>
    <n v="36329.124000000003"/>
    <x v="1"/>
    <x v="0"/>
    <s v="Regular"/>
  </r>
  <r>
    <d v="2020-02-13T00:00:00"/>
    <n v="4418"/>
    <x v="7"/>
    <n v="88"/>
    <n v="25.536000000000001"/>
    <x v="1"/>
    <x v="2"/>
    <x v="1"/>
    <x v="3"/>
    <x v="3"/>
    <n v="10"/>
    <n v="1"/>
    <n v="2247.1680000000001"/>
    <x v="1"/>
    <x v="0"/>
    <s v="Excelente"/>
  </r>
  <r>
    <d v="2020-10-29T00:00:00"/>
    <n v="4359"/>
    <x v="5"/>
    <n v="85"/>
    <n v="165.036"/>
    <x v="1"/>
    <x v="3"/>
    <x v="1"/>
    <x v="1"/>
    <x v="1"/>
    <n v="3"/>
    <n v="1"/>
    <n v="14028.06"/>
    <x v="1"/>
    <x v="0"/>
    <s v="Regular"/>
  </r>
  <r>
    <d v="2020-12-26T00:00:00"/>
    <n v="4465"/>
    <x v="8"/>
    <n v="40"/>
    <n v="8.4960000000000004"/>
    <x v="0"/>
    <x v="4"/>
    <x v="1"/>
    <x v="2"/>
    <x v="1"/>
    <n v="5"/>
    <n v="1"/>
    <n v="339.84000000000003"/>
    <x v="0"/>
    <x v="0"/>
    <s v="Bueno"/>
  </r>
  <r>
    <d v="2020-03-05T00:00:00"/>
    <n v="4854"/>
    <x v="0"/>
    <n v="54"/>
    <n v="121.236"/>
    <x v="1"/>
    <x v="5"/>
    <x v="7"/>
    <x v="0"/>
    <x v="3"/>
    <n v="1"/>
    <n v="1"/>
    <n v="6546.7440000000006"/>
    <x v="1"/>
    <x v="0"/>
    <s v="Regular"/>
  </r>
  <r>
    <d v="2020-07-14T00:00:00"/>
    <n v="4993"/>
    <x v="2"/>
    <n v="29"/>
    <n v="93.108000000000004"/>
    <x v="1"/>
    <x v="6"/>
    <x v="5"/>
    <x v="3"/>
    <x v="4"/>
    <n v="6"/>
    <n v="0"/>
    <n v="2700.1320000000001"/>
    <x v="1"/>
    <x v="1"/>
    <s v="Bueno"/>
  </r>
  <r>
    <d v="2020-11-24T00:00:00"/>
    <n v="4601"/>
    <x v="5"/>
    <n v="172"/>
    <n v="190.63200000000001"/>
    <x v="1"/>
    <x v="7"/>
    <x v="1"/>
    <x v="4"/>
    <x v="1"/>
    <n v="10"/>
    <n v="0"/>
    <n v="32788.703999999998"/>
    <x v="1"/>
    <x v="1"/>
    <s v="Excelente"/>
  </r>
  <r>
    <d v="2020-01-09T00:00:00"/>
    <n v="4620"/>
    <x v="4"/>
    <n v="199"/>
    <n v="12.468"/>
    <x v="0"/>
    <x v="8"/>
    <x v="1"/>
    <x v="2"/>
    <x v="3"/>
    <n v="10"/>
    <n v="1"/>
    <n v="2481.1320000000001"/>
    <x v="0"/>
    <x v="0"/>
    <s v="Excelente"/>
  </r>
  <r>
    <d v="2020-05-18T00:00:00"/>
    <n v="4994"/>
    <x v="1"/>
    <n v="109"/>
    <n v="65.88"/>
    <x v="0"/>
    <x v="9"/>
    <x v="7"/>
    <x v="0"/>
    <x v="0"/>
    <n v="6"/>
    <n v="0"/>
    <n v="7180.9199999999992"/>
    <x v="0"/>
    <x v="1"/>
    <s v="Bueno"/>
  </r>
  <r>
    <d v="2020-10-22T00:00:00"/>
    <n v="5005"/>
    <x v="2"/>
    <n v="197"/>
    <n v="18.204000000000001"/>
    <x v="1"/>
    <x v="0"/>
    <x v="3"/>
    <x v="3"/>
    <x v="4"/>
    <n v="6"/>
    <n v="0"/>
    <n v="3586.1880000000001"/>
    <x v="1"/>
    <x v="1"/>
    <s v="Bueno"/>
  </r>
  <r>
    <d v="2020-12-17T00:00:00"/>
    <n v="4330"/>
    <x v="7"/>
    <n v="33"/>
    <n v="93.048000000000002"/>
    <x v="0"/>
    <x v="1"/>
    <x v="1"/>
    <x v="2"/>
    <x v="3"/>
    <n v="4"/>
    <n v="0"/>
    <n v="3070.5839999999998"/>
    <x v="0"/>
    <x v="1"/>
    <s v="Regular"/>
  </r>
  <r>
    <d v="2020-04-18T00:00:00"/>
    <n v="4532"/>
    <x v="4"/>
    <n v="67"/>
    <n v="189.19200000000001"/>
    <x v="1"/>
    <x v="2"/>
    <x v="1"/>
    <x v="0"/>
    <x v="3"/>
    <n v="3"/>
    <n v="0"/>
    <n v="12675.864000000001"/>
    <x v="1"/>
    <x v="1"/>
    <s v="Regular"/>
  </r>
  <r>
    <d v="2020-03-12T00:00:00"/>
    <n v="4366"/>
    <x v="8"/>
    <n v="124"/>
    <n v="224.49600000000001"/>
    <x v="0"/>
    <x v="3"/>
    <x v="1"/>
    <x v="4"/>
    <x v="3"/>
    <n v="7"/>
    <n v="1"/>
    <n v="27837.504000000001"/>
    <x v="0"/>
    <x v="0"/>
    <s v="Bueno"/>
  </r>
  <r>
    <d v="2020-03-06T00:00:00"/>
    <n v="4746"/>
    <x v="7"/>
    <n v="42"/>
    <n v="132.54"/>
    <x v="0"/>
    <x v="4"/>
    <x v="4"/>
    <x v="0"/>
    <x v="3"/>
    <n v="7"/>
    <n v="1"/>
    <n v="5566.6799999999994"/>
    <x v="0"/>
    <x v="0"/>
    <s v="Bueno"/>
  </r>
  <r>
    <d v="2020-04-26T00:00:00"/>
    <n v="4907"/>
    <x v="1"/>
    <n v="97"/>
    <n v="27.42"/>
    <x v="1"/>
    <x v="5"/>
    <x v="2"/>
    <x v="3"/>
    <x v="1"/>
    <n v="6"/>
    <n v="0"/>
    <n v="2659.7400000000002"/>
    <x v="1"/>
    <x v="1"/>
    <s v="Bueno"/>
  </r>
  <r>
    <d v="2020-07-25T00:00:00"/>
    <n v="4524"/>
    <x v="5"/>
    <n v="154"/>
    <n v="87.960000000000008"/>
    <x v="0"/>
    <x v="6"/>
    <x v="1"/>
    <x v="1"/>
    <x v="3"/>
    <n v="5"/>
    <n v="0"/>
    <n v="13545.840000000002"/>
    <x v="0"/>
    <x v="1"/>
    <s v="Bueno"/>
  </r>
  <r>
    <d v="2020-12-15T00:00:00"/>
    <n v="4992"/>
    <x v="0"/>
    <n v="12"/>
    <n v="76.524000000000001"/>
    <x v="1"/>
    <x v="7"/>
    <x v="2"/>
    <x v="0"/>
    <x v="0"/>
    <n v="6"/>
    <n v="0"/>
    <n v="918.28800000000001"/>
    <x v="1"/>
    <x v="1"/>
    <s v="Bueno"/>
  </r>
  <r>
    <d v="2020-11-26T00:00:00"/>
    <n v="4656"/>
    <x v="5"/>
    <n v="115"/>
    <n v="169.66800000000001"/>
    <x v="1"/>
    <x v="8"/>
    <x v="1"/>
    <x v="4"/>
    <x v="3"/>
    <n v="10"/>
    <n v="1"/>
    <n v="19511.82"/>
    <x v="1"/>
    <x v="0"/>
    <s v="Excelente"/>
  </r>
  <r>
    <d v="2020-03-17T00:00:00"/>
    <n v="4842"/>
    <x v="0"/>
    <n v="199"/>
    <n v="13.428000000000001"/>
    <x v="1"/>
    <x v="9"/>
    <x v="2"/>
    <x v="0"/>
    <x v="3"/>
    <n v="1"/>
    <n v="1"/>
    <n v="2672.172"/>
    <x v="1"/>
    <x v="0"/>
    <s v="Regular"/>
  </r>
  <r>
    <d v="2020-08-15T00:00:00"/>
    <n v="4460"/>
    <x v="10"/>
    <n v="200"/>
    <n v="56.375999999999998"/>
    <x v="1"/>
    <x v="0"/>
    <x v="1"/>
    <x v="2"/>
    <x v="3"/>
    <n v="3"/>
    <n v="1"/>
    <n v="11275.199999999999"/>
    <x v="1"/>
    <x v="0"/>
    <s v="Regular"/>
  </r>
  <r>
    <d v="2020-09-06T00:00:00"/>
    <n v="4968"/>
    <x v="0"/>
    <n v="123"/>
    <n v="184.15200000000002"/>
    <x v="1"/>
    <x v="1"/>
    <x v="5"/>
    <x v="0"/>
    <x v="0"/>
    <n v="6"/>
    <n v="0"/>
    <n v="22650.696000000004"/>
    <x v="1"/>
    <x v="1"/>
    <s v="Bueno"/>
  </r>
  <r>
    <d v="2020-09-17T00:00:00"/>
    <n v="4553"/>
    <x v="8"/>
    <n v="110"/>
    <n v="43.86"/>
    <x v="1"/>
    <x v="2"/>
    <x v="1"/>
    <x v="3"/>
    <x v="1"/>
    <n v="10"/>
    <n v="1"/>
    <n v="4824.6000000000004"/>
    <x v="1"/>
    <x v="0"/>
    <s v="Excelente"/>
  </r>
  <r>
    <d v="2020-09-20T00:00:00"/>
    <n v="4438"/>
    <x v="10"/>
    <n v="76"/>
    <n v="31.728000000000002"/>
    <x v="0"/>
    <x v="3"/>
    <x v="1"/>
    <x v="3"/>
    <x v="3"/>
    <n v="7"/>
    <n v="0"/>
    <n v="2411.328"/>
    <x v="0"/>
    <x v="1"/>
    <s v="Bueno"/>
  </r>
  <r>
    <d v="2020-03-11T00:00:00"/>
    <n v="4365"/>
    <x v="0"/>
    <n v="179"/>
    <n v="191.328"/>
    <x v="1"/>
    <x v="4"/>
    <x v="1"/>
    <x v="2"/>
    <x v="1"/>
    <n v="9"/>
    <n v="1"/>
    <n v="34247.712"/>
    <x v="1"/>
    <x v="0"/>
    <s v="Excelente"/>
  </r>
  <r>
    <d v="2020-07-06T00:00:00"/>
    <n v="4274"/>
    <x v="9"/>
    <n v="218"/>
    <n v="177.58799999999999"/>
    <x v="0"/>
    <x v="5"/>
    <x v="1"/>
    <x v="1"/>
    <x v="3"/>
    <n v="8"/>
    <n v="0"/>
    <n v="38714.184000000001"/>
    <x v="0"/>
    <x v="1"/>
    <s v="Bueno"/>
  </r>
  <r>
    <d v="2020-05-22T00:00:00"/>
    <n v="4715"/>
    <x v="3"/>
    <n v="196"/>
    <n v="34.271999999999998"/>
    <x v="0"/>
    <x v="6"/>
    <x v="3"/>
    <x v="3"/>
    <x v="1"/>
    <n v="10"/>
    <n v="0"/>
    <n v="6717.3119999999999"/>
    <x v="0"/>
    <x v="1"/>
    <s v="Excelente"/>
  </r>
  <r>
    <d v="2020-04-17T00:00:00"/>
    <n v="4559"/>
    <x v="10"/>
    <n v="175"/>
    <n v="100.34400000000001"/>
    <x v="0"/>
    <x v="7"/>
    <x v="1"/>
    <x v="1"/>
    <x v="1"/>
    <n v="10"/>
    <n v="0"/>
    <n v="17560.2"/>
    <x v="0"/>
    <x v="1"/>
    <s v="Excelente"/>
  </r>
  <r>
    <d v="2020-07-23T00:00:00"/>
    <n v="4223"/>
    <x v="8"/>
    <n v="193"/>
    <n v="153.024"/>
    <x v="1"/>
    <x v="8"/>
    <x v="1"/>
    <x v="3"/>
    <x v="0"/>
    <n v="3"/>
    <n v="0"/>
    <n v="29533.632000000001"/>
    <x v="1"/>
    <x v="1"/>
    <s v="Regular"/>
  </r>
  <r>
    <d v="2020-06-09T00:00:00"/>
    <n v="4202"/>
    <x v="4"/>
    <n v="170"/>
    <n v="45.192"/>
    <x v="0"/>
    <x v="9"/>
    <x v="1"/>
    <x v="0"/>
    <x v="3"/>
    <n v="7"/>
    <n v="0"/>
    <n v="7682.64"/>
    <x v="0"/>
    <x v="1"/>
    <s v="Bueno"/>
  </r>
  <r>
    <d v="2020-07-19T00:00:00"/>
    <n v="4210"/>
    <x v="2"/>
    <n v="148"/>
    <n v="190.86"/>
    <x v="1"/>
    <x v="0"/>
    <x v="1"/>
    <x v="2"/>
    <x v="5"/>
    <n v="10"/>
    <n v="0"/>
    <n v="28247.280000000002"/>
    <x v="1"/>
    <x v="1"/>
    <s v="Excelente"/>
  </r>
  <r>
    <d v="2020-09-16T00:00:00"/>
    <n v="5037"/>
    <x v="0"/>
    <n v="157"/>
    <n v="0.32400000000000001"/>
    <x v="1"/>
    <x v="1"/>
    <x v="6"/>
    <x v="3"/>
    <x v="4"/>
    <n v="7"/>
    <n v="1"/>
    <n v="50.868000000000002"/>
    <x v="1"/>
    <x v="0"/>
    <s v="Bueno"/>
  </r>
  <r>
    <d v="2020-05-26T00:00:00"/>
    <n v="4889"/>
    <x v="1"/>
    <n v="127"/>
    <n v="170.11199999999999"/>
    <x v="1"/>
    <x v="2"/>
    <x v="7"/>
    <x v="3"/>
    <x v="1"/>
    <n v="6"/>
    <n v="0"/>
    <n v="21604.223999999998"/>
    <x v="1"/>
    <x v="1"/>
    <s v="Bueno"/>
  </r>
  <r>
    <d v="2020-08-26T00:00:00"/>
    <n v="4399"/>
    <x v="8"/>
    <n v="219"/>
    <n v="57.048000000000002"/>
    <x v="0"/>
    <x v="3"/>
    <x v="1"/>
    <x v="1"/>
    <x v="1"/>
    <n v="10"/>
    <n v="0"/>
    <n v="12493.512000000001"/>
    <x v="0"/>
    <x v="1"/>
    <s v="Excelente"/>
  </r>
  <r>
    <d v="2020-11-25T00:00:00"/>
    <n v="4621"/>
    <x v="6"/>
    <n v="181"/>
    <n v="52.5"/>
    <x v="1"/>
    <x v="4"/>
    <x v="1"/>
    <x v="4"/>
    <x v="1"/>
    <n v="10"/>
    <n v="1"/>
    <n v="9502.5"/>
    <x v="1"/>
    <x v="0"/>
    <s v="Excelente"/>
  </r>
  <r>
    <d v="2020-10-17T00:00:00"/>
    <n v="4395"/>
    <x v="9"/>
    <n v="173"/>
    <n v="175.96800000000002"/>
    <x v="1"/>
    <x v="5"/>
    <x v="1"/>
    <x v="2"/>
    <x v="1"/>
    <n v="3"/>
    <n v="0"/>
    <n v="30442.464000000004"/>
    <x v="1"/>
    <x v="1"/>
    <s v="Regular"/>
  </r>
  <r>
    <d v="2020-06-26T00:00:00"/>
    <n v="4357"/>
    <x v="6"/>
    <n v="31"/>
    <n v="96.671999999999997"/>
    <x v="1"/>
    <x v="6"/>
    <x v="1"/>
    <x v="0"/>
    <x v="1"/>
    <n v="3"/>
    <n v="1"/>
    <n v="2996.8319999999999"/>
    <x v="1"/>
    <x v="0"/>
    <s v="Regular"/>
  </r>
  <r>
    <d v="2020-05-01T00:00:00"/>
    <n v="5016"/>
    <x v="0"/>
    <n v="159"/>
    <n v="151.30799999999999"/>
    <x v="1"/>
    <x v="7"/>
    <x v="4"/>
    <x v="0"/>
    <x v="0"/>
    <n v="6"/>
    <n v="1"/>
    <n v="24057.971999999998"/>
    <x v="1"/>
    <x v="0"/>
    <s v="Bueno"/>
  </r>
  <r>
    <d v="2020-10-05T00:00:00"/>
    <n v="4605"/>
    <x v="7"/>
    <n v="76"/>
    <n v="213.98400000000001"/>
    <x v="1"/>
    <x v="8"/>
    <x v="1"/>
    <x v="2"/>
    <x v="1"/>
    <n v="10"/>
    <n v="0"/>
    <n v="16262.784000000001"/>
    <x v="1"/>
    <x v="1"/>
    <s v="Excelente"/>
  </r>
  <r>
    <d v="2020-08-29T00:00:00"/>
    <n v="4832"/>
    <x v="1"/>
    <n v="50"/>
    <n v="137.41200000000001"/>
    <x v="1"/>
    <x v="9"/>
    <x v="2"/>
    <x v="0"/>
    <x v="3"/>
    <n v="2"/>
    <n v="1"/>
    <n v="6870.6"/>
    <x v="1"/>
    <x v="0"/>
    <s v="Regular"/>
  </r>
  <r>
    <d v="2020-08-14T00:00:00"/>
    <n v="4392"/>
    <x v="5"/>
    <n v="149"/>
    <n v="86.975999999999999"/>
    <x v="1"/>
    <x v="0"/>
    <x v="1"/>
    <x v="0"/>
    <x v="3"/>
    <n v="4"/>
    <n v="1"/>
    <n v="12959.423999999999"/>
    <x v="1"/>
    <x v="0"/>
    <s v="Regular"/>
  </r>
  <r>
    <d v="2020-06-01T00:00:00"/>
    <n v="4824"/>
    <x v="0"/>
    <n v="135"/>
    <n v="29.28"/>
    <x v="1"/>
    <x v="1"/>
    <x v="7"/>
    <x v="0"/>
    <x v="3"/>
    <n v="2"/>
    <n v="1"/>
    <n v="3952.8"/>
    <x v="1"/>
    <x v="0"/>
    <s v="Regular"/>
  </r>
  <r>
    <d v="2020-06-06T00:00:00"/>
    <n v="4672"/>
    <x v="2"/>
    <n v="29"/>
    <n v="143.54400000000001"/>
    <x v="1"/>
    <x v="2"/>
    <x v="1"/>
    <x v="0"/>
    <x v="3"/>
    <n v="10"/>
    <n v="0"/>
    <n v="4162.7760000000007"/>
    <x v="1"/>
    <x v="1"/>
    <s v="Excelente"/>
  </r>
  <r>
    <d v="2020-11-14T00:00:00"/>
    <n v="5046"/>
    <x v="0"/>
    <n v="216"/>
    <n v="188.34"/>
    <x v="1"/>
    <x v="3"/>
    <x v="0"/>
    <x v="0"/>
    <x v="0"/>
    <n v="7"/>
    <n v="1"/>
    <n v="40681.440000000002"/>
    <x v="1"/>
    <x v="0"/>
    <s v="Bueno"/>
  </r>
  <r>
    <d v="2020-08-29T00:00:00"/>
    <n v="4221"/>
    <x v="2"/>
    <n v="110"/>
    <n v="110.84400000000001"/>
    <x v="0"/>
    <x v="4"/>
    <x v="1"/>
    <x v="4"/>
    <x v="1"/>
    <n v="1"/>
    <n v="0"/>
    <n v="12192.84"/>
    <x v="0"/>
    <x v="1"/>
    <s v="Regular"/>
  </r>
  <r>
    <d v="2020-10-03T00:00:00"/>
    <n v="4800"/>
    <x v="0"/>
    <n v="112"/>
    <n v="52.344000000000001"/>
    <x v="0"/>
    <x v="5"/>
    <x v="3"/>
    <x v="0"/>
    <x v="3"/>
    <n v="7"/>
    <n v="1"/>
    <n v="5862.5280000000002"/>
    <x v="0"/>
    <x v="0"/>
    <s v="Bueno"/>
  </r>
  <r>
    <d v="2020-02-10T00:00:00"/>
    <n v="5034"/>
    <x v="0"/>
    <n v="161"/>
    <n v="205.8"/>
    <x v="1"/>
    <x v="6"/>
    <x v="0"/>
    <x v="0"/>
    <x v="0"/>
    <n v="7"/>
    <n v="1"/>
    <n v="33133.800000000003"/>
    <x v="1"/>
    <x v="0"/>
    <s v="Bueno"/>
  </r>
  <r>
    <d v="2020-08-15T00:00:00"/>
    <n v="4840"/>
    <x v="2"/>
    <n v="150"/>
    <n v="209.64000000000001"/>
    <x v="0"/>
    <x v="7"/>
    <x v="3"/>
    <x v="0"/>
    <x v="3"/>
    <n v="1"/>
    <n v="1"/>
    <n v="31446.000000000004"/>
    <x v="0"/>
    <x v="0"/>
    <s v="Regular"/>
  </r>
  <r>
    <d v="2020-08-04T00:00:00"/>
    <n v="4480"/>
    <x v="5"/>
    <n v="48"/>
    <n v="156.36000000000001"/>
    <x v="0"/>
    <x v="8"/>
    <x v="1"/>
    <x v="2"/>
    <x v="3"/>
    <n v="5"/>
    <n v="1"/>
    <n v="7505.2800000000007"/>
    <x v="0"/>
    <x v="0"/>
    <s v="Bueno"/>
  </r>
  <r>
    <d v="2020-11-21T00:00:00"/>
    <n v="4332"/>
    <x v="0"/>
    <n v="203"/>
    <n v="48.024000000000001"/>
    <x v="0"/>
    <x v="9"/>
    <x v="1"/>
    <x v="0"/>
    <x v="3"/>
    <n v="9"/>
    <n v="1"/>
    <n v="9748.8719999999994"/>
    <x v="0"/>
    <x v="0"/>
    <s v="Excelente"/>
  </r>
  <r>
    <d v="2020-07-22T00:00:00"/>
    <n v="4930"/>
    <x v="2"/>
    <n v="37"/>
    <n v="57.972000000000001"/>
    <x v="0"/>
    <x v="0"/>
    <x v="3"/>
    <x v="0"/>
    <x v="3"/>
    <n v="6"/>
    <n v="0"/>
    <n v="2144.9639999999999"/>
    <x v="0"/>
    <x v="1"/>
    <s v="Bueno"/>
  </r>
  <r>
    <d v="2020-12-29T00:00:00"/>
    <n v="4985"/>
    <x v="1"/>
    <n v="84"/>
    <n v="81.12"/>
    <x v="1"/>
    <x v="1"/>
    <x v="3"/>
    <x v="3"/>
    <x v="4"/>
    <n v="6"/>
    <n v="0"/>
    <n v="6814.08"/>
    <x v="1"/>
    <x v="1"/>
    <s v="Bueno"/>
  </r>
  <r>
    <d v="2020-01-18T00:00:00"/>
    <n v="4804"/>
    <x v="2"/>
    <n v="203"/>
    <n v="178.83600000000001"/>
    <x v="1"/>
    <x v="2"/>
    <x v="7"/>
    <x v="0"/>
    <x v="3"/>
    <n v="7"/>
    <n v="1"/>
    <n v="36303.708000000006"/>
    <x v="1"/>
    <x v="0"/>
    <s v="Bueno"/>
  </r>
  <r>
    <d v="2020-05-03T00:00:00"/>
    <n v="5022"/>
    <x v="0"/>
    <n v="212"/>
    <n v="229.464"/>
    <x v="0"/>
    <x v="3"/>
    <x v="2"/>
    <x v="0"/>
    <x v="0"/>
    <n v="6"/>
    <n v="1"/>
    <n v="48646.368000000002"/>
    <x v="0"/>
    <x v="0"/>
    <s v="Bueno"/>
  </r>
  <r>
    <d v="2020-05-29T00:00:00"/>
    <n v="4667"/>
    <x v="5"/>
    <n v="172"/>
    <n v="200.02799999999999"/>
    <x v="1"/>
    <x v="4"/>
    <x v="1"/>
    <x v="0"/>
    <x v="1"/>
    <n v="10"/>
    <n v="0"/>
    <n v="34404.815999999999"/>
    <x v="1"/>
    <x v="1"/>
    <s v="Excelente"/>
  </r>
  <r>
    <d v="2020-03-21T00:00:00"/>
    <n v="4436"/>
    <x v="5"/>
    <n v="71"/>
    <n v="71.352000000000004"/>
    <x v="1"/>
    <x v="5"/>
    <x v="1"/>
    <x v="4"/>
    <x v="3"/>
    <n v="6"/>
    <n v="1"/>
    <n v="5065.9920000000002"/>
    <x v="1"/>
    <x v="0"/>
    <s v="Bueno"/>
  </r>
  <r>
    <d v="2020-06-14T00:00:00"/>
    <n v="4982"/>
    <x v="1"/>
    <n v="207"/>
    <n v="111.096"/>
    <x v="0"/>
    <x v="6"/>
    <x v="2"/>
    <x v="0"/>
    <x v="0"/>
    <n v="6"/>
    <n v="0"/>
    <n v="22996.871999999999"/>
    <x v="0"/>
    <x v="1"/>
    <s v="Bueno"/>
  </r>
  <r>
    <d v="2020-12-12T00:00:00"/>
    <n v="4560"/>
    <x v="9"/>
    <n v="29"/>
    <n v="226.29599999999999"/>
    <x v="1"/>
    <x v="7"/>
    <x v="1"/>
    <x v="2"/>
    <x v="3"/>
    <n v="10"/>
    <n v="1"/>
    <n v="6562.5839999999998"/>
    <x v="1"/>
    <x v="0"/>
    <s v="Excelente"/>
  </r>
  <r>
    <d v="2020-03-13T00:00:00"/>
    <n v="4262"/>
    <x v="10"/>
    <n v="90"/>
    <n v="228.828"/>
    <x v="1"/>
    <x v="8"/>
    <x v="1"/>
    <x v="0"/>
    <x v="3"/>
    <n v="6"/>
    <n v="1"/>
    <n v="20594.52"/>
    <x v="1"/>
    <x v="0"/>
    <s v="Bueno"/>
  </r>
  <r>
    <d v="2020-09-08T00:00:00"/>
    <n v="4383"/>
    <x v="10"/>
    <n v="189"/>
    <n v="185.28"/>
    <x v="0"/>
    <x v="9"/>
    <x v="1"/>
    <x v="3"/>
    <x v="1"/>
    <n v="1"/>
    <n v="0"/>
    <n v="35017.919999999998"/>
    <x v="0"/>
    <x v="1"/>
    <s v="Regular"/>
  </r>
  <r>
    <d v="2020-11-15T00:00:00"/>
    <n v="4591"/>
    <x v="3"/>
    <n v="167"/>
    <n v="49.451999999999998"/>
    <x v="1"/>
    <x v="0"/>
    <x v="1"/>
    <x v="4"/>
    <x v="1"/>
    <n v="10"/>
    <n v="1"/>
    <n v="8258.4840000000004"/>
    <x v="1"/>
    <x v="0"/>
    <s v="Excelente"/>
  </r>
  <r>
    <d v="2020-11-28T00:00:00"/>
    <n v="4847"/>
    <x v="1"/>
    <n v="116"/>
    <n v="100.764"/>
    <x v="0"/>
    <x v="1"/>
    <x v="2"/>
    <x v="3"/>
    <x v="1"/>
    <n v="1"/>
    <n v="1"/>
    <n v="11688.624"/>
    <x v="0"/>
    <x v="0"/>
    <s v="Regular"/>
  </r>
  <r>
    <d v="2020-09-14T00:00:00"/>
    <n v="4690"/>
    <x v="5"/>
    <n v="36"/>
    <n v="119.12400000000001"/>
    <x v="1"/>
    <x v="2"/>
    <x v="3"/>
    <x v="2"/>
    <x v="3"/>
    <n v="10"/>
    <n v="0"/>
    <n v="4288.4639999999999"/>
    <x v="1"/>
    <x v="1"/>
    <s v="Excelente"/>
  </r>
  <r>
    <d v="2020-04-19T00:00:00"/>
    <n v="4320"/>
    <x v="2"/>
    <n v="5"/>
    <n v="87.24"/>
    <x v="1"/>
    <x v="3"/>
    <x v="1"/>
    <x v="2"/>
    <x v="3"/>
    <n v="8"/>
    <n v="0"/>
    <n v="436.2"/>
    <x v="1"/>
    <x v="1"/>
    <s v="Bueno"/>
  </r>
  <r>
    <d v="2020-04-21T00:00:00"/>
    <n v="4781"/>
    <x v="1"/>
    <n v="172"/>
    <n v="100.404"/>
    <x v="1"/>
    <x v="4"/>
    <x v="4"/>
    <x v="3"/>
    <x v="1"/>
    <n v="7"/>
    <n v="0"/>
    <n v="17269.487999999998"/>
    <x v="1"/>
    <x v="1"/>
    <s v="Bueno"/>
  </r>
  <r>
    <d v="2020-04-11T00:00:00"/>
    <n v="4878"/>
    <x v="0"/>
    <n v="9"/>
    <n v="37.116"/>
    <x v="0"/>
    <x v="5"/>
    <x v="5"/>
    <x v="0"/>
    <x v="3"/>
    <n v="6"/>
    <n v="0"/>
    <n v="334.04399999999998"/>
    <x v="0"/>
    <x v="1"/>
    <s v="Bueno"/>
  </r>
  <r>
    <d v="2020-10-18T00:00:00"/>
    <n v="4304"/>
    <x v="5"/>
    <n v="177"/>
    <n v="44.4"/>
    <x v="0"/>
    <x v="6"/>
    <x v="1"/>
    <x v="1"/>
    <x v="3"/>
    <n v="2"/>
    <n v="1"/>
    <n v="7858.8"/>
    <x v="0"/>
    <x v="0"/>
    <s v="Regular"/>
  </r>
  <r>
    <d v="2020-09-21T00:00:00"/>
    <n v="4706"/>
    <x v="3"/>
    <n v="17"/>
    <n v="13.332000000000001"/>
    <x v="1"/>
    <x v="7"/>
    <x v="4"/>
    <x v="0"/>
    <x v="3"/>
    <n v="10"/>
    <n v="0"/>
    <n v="226.64400000000001"/>
    <x v="1"/>
    <x v="1"/>
    <s v="Excelente"/>
  </r>
  <r>
    <d v="2020-08-29T00:00:00"/>
    <n v="4764"/>
    <x v="7"/>
    <n v="135"/>
    <n v="145.524"/>
    <x v="0"/>
    <x v="8"/>
    <x v="7"/>
    <x v="0"/>
    <x v="3"/>
    <n v="7"/>
    <n v="1"/>
    <n v="19645.740000000002"/>
    <x v="0"/>
    <x v="0"/>
    <s v="Bueno"/>
  </r>
  <r>
    <d v="2020-05-11T00:00:00"/>
    <n v="4862"/>
    <x v="1"/>
    <n v="134"/>
    <n v="230.49600000000001"/>
    <x v="1"/>
    <x v="9"/>
    <x v="2"/>
    <x v="0"/>
    <x v="3"/>
    <n v="1"/>
    <n v="1"/>
    <n v="30886.464"/>
    <x v="1"/>
    <x v="0"/>
    <s v="Regular"/>
  </r>
  <r>
    <d v="2020-02-27T00:00:00"/>
    <n v="4378"/>
    <x v="4"/>
    <n v="54"/>
    <n v="140.49600000000001"/>
    <x v="0"/>
    <x v="0"/>
    <x v="1"/>
    <x v="3"/>
    <x v="3"/>
    <n v="10"/>
    <n v="1"/>
    <n v="7586.7840000000006"/>
    <x v="0"/>
    <x v="0"/>
    <s v="Excelente"/>
  </r>
  <r>
    <d v="2020-11-10T00:00:00"/>
    <n v="4631"/>
    <x v="4"/>
    <n v="54"/>
    <n v="178.09200000000001"/>
    <x v="1"/>
    <x v="1"/>
    <x v="1"/>
    <x v="4"/>
    <x v="1"/>
    <n v="10"/>
    <n v="1"/>
    <n v="9616.9680000000008"/>
    <x v="1"/>
    <x v="0"/>
    <s v="Excelente"/>
  </r>
  <r>
    <d v="2020-11-19T00:00:00"/>
    <n v="5024"/>
    <x v="1"/>
    <n v="218"/>
    <n v="164.59200000000001"/>
    <x v="1"/>
    <x v="2"/>
    <x v="7"/>
    <x v="0"/>
    <x v="0"/>
    <n v="6"/>
    <n v="1"/>
    <n v="35881.056000000004"/>
    <x v="1"/>
    <x v="0"/>
    <s v="Bueno"/>
  </r>
  <r>
    <d v="2020-03-07T00:00:00"/>
    <n v="4402"/>
    <x v="1"/>
    <n v="19"/>
    <n v="11.28"/>
    <x v="0"/>
    <x v="3"/>
    <x v="1"/>
    <x v="0"/>
    <x v="3"/>
    <n v="8"/>
    <n v="0"/>
    <n v="214.32"/>
    <x v="0"/>
    <x v="1"/>
    <s v="Bueno"/>
  </r>
  <r>
    <d v="2020-11-03T00:00:00"/>
    <n v="4263"/>
    <x v="9"/>
    <n v="184"/>
    <n v="192.3"/>
    <x v="1"/>
    <x v="4"/>
    <x v="1"/>
    <x v="3"/>
    <x v="1"/>
    <n v="4"/>
    <n v="1"/>
    <n v="35383.200000000004"/>
    <x v="1"/>
    <x v="0"/>
    <s v="Regular"/>
  </r>
  <r>
    <d v="2020-01-14T00:00:00"/>
    <n v="4345"/>
    <x v="4"/>
    <n v="93"/>
    <n v="38.015999999999998"/>
    <x v="0"/>
    <x v="5"/>
    <x v="1"/>
    <x v="2"/>
    <x v="1"/>
    <n v="1"/>
    <n v="0"/>
    <n v="3535.4879999999998"/>
    <x v="0"/>
    <x v="1"/>
    <s v="Regular"/>
  </r>
  <r>
    <d v="2020-11-28T00:00:00"/>
    <n v="4867"/>
    <x v="2"/>
    <n v="215"/>
    <n v="200.988"/>
    <x v="1"/>
    <x v="6"/>
    <x v="2"/>
    <x v="3"/>
    <x v="1"/>
    <n v="6"/>
    <n v="0"/>
    <n v="43212.42"/>
    <x v="1"/>
    <x v="1"/>
    <s v="Bueno"/>
  </r>
  <r>
    <d v="2020-05-05T00:00:00"/>
    <n v="4996"/>
    <x v="2"/>
    <n v="209"/>
    <n v="207.78"/>
    <x v="0"/>
    <x v="7"/>
    <x v="4"/>
    <x v="0"/>
    <x v="0"/>
    <n v="6"/>
    <n v="0"/>
    <n v="43426.02"/>
    <x v="0"/>
    <x v="1"/>
    <s v="Bueno"/>
  </r>
  <r>
    <d v="2020-04-06T00:00:00"/>
    <n v="4584"/>
    <x v="2"/>
    <n v="154"/>
    <n v="169.12800000000001"/>
    <x v="0"/>
    <x v="8"/>
    <x v="1"/>
    <x v="1"/>
    <x v="3"/>
    <n v="10"/>
    <n v="1"/>
    <n v="26045.712000000003"/>
    <x v="0"/>
    <x v="0"/>
    <s v="Excelente"/>
  </r>
  <r>
    <d v="2020-01-15T00:00:00"/>
    <n v="4780"/>
    <x v="2"/>
    <n v="67"/>
    <n v="129.50399999999999"/>
    <x v="1"/>
    <x v="9"/>
    <x v="3"/>
    <x v="0"/>
    <x v="3"/>
    <n v="7"/>
    <n v="1"/>
    <n v="8676.768"/>
    <x v="1"/>
    <x v="0"/>
    <s v="Bueno"/>
  </r>
  <r>
    <d v="2020-05-03T00:00:00"/>
    <n v="4917"/>
    <x v="0"/>
    <n v="74"/>
    <n v="52.44"/>
    <x v="1"/>
    <x v="0"/>
    <x v="2"/>
    <x v="3"/>
    <x v="1"/>
    <n v="6"/>
    <n v="0"/>
    <n v="3880.56"/>
    <x v="1"/>
    <x v="1"/>
    <s v="Bueno"/>
  </r>
  <r>
    <d v="2020-01-28T00:00:00"/>
    <n v="4642"/>
    <x v="4"/>
    <n v="36"/>
    <n v="127.488"/>
    <x v="0"/>
    <x v="1"/>
    <x v="1"/>
    <x v="0"/>
    <x v="3"/>
    <n v="10"/>
    <n v="1"/>
    <n v="4589.5680000000002"/>
    <x v="0"/>
    <x v="0"/>
    <s v="Excelente"/>
  </r>
  <r>
    <d v="2020-04-08T00:00:00"/>
    <n v="4424"/>
    <x v="1"/>
    <n v="87"/>
    <n v="192.06"/>
    <x v="1"/>
    <x v="2"/>
    <x v="1"/>
    <x v="1"/>
    <x v="3"/>
    <n v="7"/>
    <n v="0"/>
    <n v="16709.22"/>
    <x v="1"/>
    <x v="1"/>
    <s v="Bueno"/>
  </r>
  <r>
    <d v="2020-05-09T00:00:00"/>
    <n v="4403"/>
    <x v="5"/>
    <n v="207"/>
    <n v="203.952"/>
    <x v="1"/>
    <x v="3"/>
    <x v="1"/>
    <x v="3"/>
    <x v="1"/>
    <n v="5"/>
    <n v="1"/>
    <n v="42218.063999999998"/>
    <x v="1"/>
    <x v="0"/>
    <s v="Bueno"/>
  </r>
  <r>
    <d v="2020-04-19T00:00:00"/>
    <n v="4196"/>
    <x v="10"/>
    <n v="121"/>
    <n v="70.62"/>
    <x v="0"/>
    <x v="4"/>
    <x v="1"/>
    <x v="4"/>
    <x v="3"/>
    <n v="1"/>
    <n v="1"/>
    <n v="8545.02"/>
    <x v="0"/>
    <x v="0"/>
    <s v="Regular"/>
  </r>
  <r>
    <d v="2020-10-11T00:00:00"/>
    <n v="4381"/>
    <x v="5"/>
    <n v="26"/>
    <n v="91.152000000000001"/>
    <x v="1"/>
    <x v="5"/>
    <x v="1"/>
    <x v="4"/>
    <x v="1"/>
    <n v="8"/>
    <n v="1"/>
    <n v="2369.9520000000002"/>
    <x v="1"/>
    <x v="0"/>
    <s v="Bueno"/>
  </r>
  <r>
    <d v="2020-07-16T00:00:00"/>
    <n v="4734"/>
    <x v="7"/>
    <n v="14"/>
    <n v="211.82400000000001"/>
    <x v="1"/>
    <x v="6"/>
    <x v="7"/>
    <x v="0"/>
    <x v="3"/>
    <n v="7"/>
    <n v="1"/>
    <n v="2965.5360000000001"/>
    <x v="1"/>
    <x v="0"/>
    <s v="Bueno"/>
  </r>
  <r>
    <d v="2020-11-13T00:00:00"/>
    <n v="4978"/>
    <x v="2"/>
    <n v="102"/>
    <n v="105.13200000000001"/>
    <x v="1"/>
    <x v="7"/>
    <x v="5"/>
    <x v="0"/>
    <x v="0"/>
    <n v="6"/>
    <n v="0"/>
    <n v="10723.464"/>
    <x v="1"/>
    <x v="1"/>
    <s v="Bueno"/>
  </r>
  <r>
    <d v="2020-04-29T00:00:00"/>
    <n v="4386"/>
    <x v="2"/>
    <n v="197"/>
    <n v="200.376"/>
    <x v="0"/>
    <x v="8"/>
    <x v="1"/>
    <x v="4"/>
    <x v="3"/>
    <n v="9"/>
    <n v="0"/>
    <n v="39474.072"/>
    <x v="0"/>
    <x v="1"/>
    <s v="Excelente"/>
  </r>
  <r>
    <d v="2020-10-22T00:00:00"/>
    <n v="4643"/>
    <x v="6"/>
    <n v="26"/>
    <n v="227.208"/>
    <x v="0"/>
    <x v="9"/>
    <x v="1"/>
    <x v="3"/>
    <x v="1"/>
    <n v="10"/>
    <n v="0"/>
    <n v="5907.4080000000004"/>
    <x v="0"/>
    <x v="1"/>
    <s v="Excelente"/>
  </r>
  <r>
    <d v="2020-05-27T00:00:00"/>
    <n v="4344"/>
    <x v="8"/>
    <n v="33"/>
    <n v="111.768"/>
    <x v="1"/>
    <x v="0"/>
    <x v="1"/>
    <x v="1"/>
    <x v="3"/>
    <n v="5"/>
    <n v="0"/>
    <n v="3688.3440000000001"/>
    <x v="1"/>
    <x v="1"/>
    <s v="Bueno"/>
  </r>
  <r>
    <d v="2020-06-18T00:00:00"/>
    <n v="4505"/>
    <x v="9"/>
    <n v="109"/>
    <n v="8.2919999999999998"/>
    <x v="1"/>
    <x v="1"/>
    <x v="1"/>
    <x v="2"/>
    <x v="1"/>
    <n v="10"/>
    <n v="0"/>
    <n v="903.82799999999997"/>
    <x v="1"/>
    <x v="1"/>
    <s v="Excelente"/>
  </r>
  <r>
    <d v="2020-07-15T00:00:00"/>
    <n v="4956"/>
    <x v="0"/>
    <n v="173"/>
    <n v="11.34"/>
    <x v="0"/>
    <x v="2"/>
    <x v="4"/>
    <x v="0"/>
    <x v="3"/>
    <n v="6"/>
    <n v="0"/>
    <n v="1961.82"/>
    <x v="0"/>
    <x v="1"/>
    <s v="Bueno"/>
  </r>
  <r>
    <d v="2020-08-29T00:00:00"/>
    <n v="4876"/>
    <x v="2"/>
    <n v="92"/>
    <n v="186.084"/>
    <x v="0"/>
    <x v="3"/>
    <x v="4"/>
    <x v="0"/>
    <x v="3"/>
    <n v="6"/>
    <n v="0"/>
    <n v="17119.727999999999"/>
    <x v="0"/>
    <x v="1"/>
    <s v="Bueno"/>
  </r>
  <r>
    <d v="2020-04-10T00:00:00"/>
    <n v="4467"/>
    <x v="6"/>
    <n v="169"/>
    <n v="218.892"/>
    <x v="1"/>
    <x v="4"/>
    <x v="1"/>
    <x v="0"/>
    <x v="1"/>
    <n v="2"/>
    <n v="0"/>
    <n v="36992.748"/>
    <x v="1"/>
    <x v="1"/>
    <s v="Regular"/>
  </r>
  <r>
    <d v="2020-03-03T00:00:00"/>
    <n v="5041"/>
    <x v="2"/>
    <n v="179"/>
    <n v="225.97200000000001"/>
    <x v="1"/>
    <x v="5"/>
    <x v="6"/>
    <x v="3"/>
    <x v="4"/>
    <n v="7"/>
    <n v="1"/>
    <n v="40448.988000000005"/>
    <x v="1"/>
    <x v="0"/>
    <s v="Bueno"/>
  </r>
  <r>
    <d v="2020-05-28T00:00:00"/>
    <n v="4816"/>
    <x v="2"/>
    <n v="189"/>
    <n v="65.448000000000008"/>
    <x v="0"/>
    <x v="6"/>
    <x v="4"/>
    <x v="0"/>
    <x v="3"/>
    <n v="2"/>
    <n v="1"/>
    <n v="12369.672000000002"/>
    <x v="0"/>
    <x v="0"/>
    <s v="Regular"/>
  </r>
  <r>
    <d v="2020-03-09T00:00:00"/>
    <n v="4736"/>
    <x v="3"/>
    <n v="131"/>
    <n v="144.16800000000001"/>
    <x v="1"/>
    <x v="7"/>
    <x v="4"/>
    <x v="0"/>
    <x v="3"/>
    <n v="7"/>
    <n v="1"/>
    <n v="18886.008000000002"/>
    <x v="1"/>
    <x v="0"/>
    <s v="Bueno"/>
  </r>
  <r>
    <d v="2020-01-09T00:00:00"/>
    <n v="4920"/>
    <x v="0"/>
    <n v="89"/>
    <n v="11.592000000000001"/>
    <x v="0"/>
    <x v="8"/>
    <x v="3"/>
    <x v="0"/>
    <x v="3"/>
    <n v="6"/>
    <n v="0"/>
    <n v="1031.6880000000001"/>
    <x v="0"/>
    <x v="1"/>
    <s v="Bueno"/>
  </r>
  <r>
    <d v="2020-02-21T00:00:00"/>
    <n v="4666"/>
    <x v="1"/>
    <n v="41"/>
    <n v="54.012"/>
    <x v="1"/>
    <x v="9"/>
    <x v="1"/>
    <x v="4"/>
    <x v="3"/>
    <n v="10"/>
    <n v="0"/>
    <n v="2214.4920000000002"/>
    <x v="1"/>
    <x v="1"/>
    <s v="Excelente"/>
  </r>
  <r>
    <d v="2020-10-06T00:00:00"/>
    <n v="4186"/>
    <x v="9"/>
    <n v="144"/>
    <n v="82.284000000000006"/>
    <x v="0"/>
    <x v="0"/>
    <x v="1"/>
    <x v="4"/>
    <x v="5"/>
    <n v="5"/>
    <n v="1"/>
    <n v="11848.896000000001"/>
    <x v="0"/>
    <x v="0"/>
    <s v="Bueno"/>
  </r>
  <r>
    <d v="2020-01-08T00:00:00"/>
    <n v="4352"/>
    <x v="7"/>
    <n v="192"/>
    <n v="41.076000000000001"/>
    <x v="0"/>
    <x v="1"/>
    <x v="1"/>
    <x v="0"/>
    <x v="3"/>
    <n v="8"/>
    <n v="0"/>
    <n v="7886.5920000000006"/>
    <x v="0"/>
    <x v="1"/>
    <s v="Bueno"/>
  </r>
  <r>
    <d v="2020-04-09T00:00:00"/>
    <n v="4973"/>
    <x v="1"/>
    <n v="196"/>
    <n v="111.012"/>
    <x v="1"/>
    <x v="2"/>
    <x v="5"/>
    <x v="3"/>
    <x v="4"/>
    <n v="6"/>
    <n v="0"/>
    <n v="21758.351999999999"/>
    <x v="1"/>
    <x v="1"/>
    <s v="Bueno"/>
  </r>
  <r>
    <d v="2020-01-08T00:00:00"/>
    <n v="4912"/>
    <x v="2"/>
    <n v="177"/>
    <n v="142.04400000000001"/>
    <x v="0"/>
    <x v="3"/>
    <x v="2"/>
    <x v="0"/>
    <x v="3"/>
    <n v="6"/>
    <n v="0"/>
    <n v="25141.788"/>
    <x v="0"/>
    <x v="1"/>
    <s v="Bueno"/>
  </r>
  <r>
    <d v="2020-05-21T00:00:00"/>
    <n v="4957"/>
    <x v="2"/>
    <n v="35"/>
    <n v="112.992"/>
    <x v="1"/>
    <x v="4"/>
    <x v="2"/>
    <x v="3"/>
    <x v="1"/>
    <n v="6"/>
    <n v="0"/>
    <n v="3954.7200000000003"/>
    <x v="1"/>
    <x v="1"/>
    <s v="Bueno"/>
  </r>
  <r>
    <d v="2020-07-18T00:00:00"/>
    <n v="4925"/>
    <x v="1"/>
    <n v="189"/>
    <n v="27.936"/>
    <x v="0"/>
    <x v="5"/>
    <x v="3"/>
    <x v="3"/>
    <x v="1"/>
    <n v="6"/>
    <n v="0"/>
    <n v="5279.9039999999995"/>
    <x v="0"/>
    <x v="1"/>
    <s v="Bueno"/>
  </r>
  <r>
    <d v="2020-10-04T00:00:00"/>
    <n v="4425"/>
    <x v="5"/>
    <n v="105"/>
    <n v="129"/>
    <x v="0"/>
    <x v="6"/>
    <x v="1"/>
    <x v="2"/>
    <x v="1"/>
    <n v="3"/>
    <n v="1"/>
    <n v="13545"/>
    <x v="0"/>
    <x v="0"/>
    <s v="Regular"/>
  </r>
  <r>
    <d v="2020-02-19T00:00:00"/>
    <n v="4440"/>
    <x v="7"/>
    <n v="81"/>
    <n v="64.739999999999995"/>
    <x v="1"/>
    <x v="7"/>
    <x v="1"/>
    <x v="2"/>
    <x v="3"/>
    <n v="6"/>
    <n v="0"/>
    <n v="5243.94"/>
    <x v="1"/>
    <x v="1"/>
    <s v="Bueno"/>
  </r>
  <r>
    <d v="2020-02-06T00:00:00"/>
    <n v="4948"/>
    <x v="2"/>
    <n v="221"/>
    <n v="87"/>
    <x v="1"/>
    <x v="8"/>
    <x v="5"/>
    <x v="0"/>
    <x v="3"/>
    <n v="6"/>
    <n v="0"/>
    <n v="19227"/>
    <x v="1"/>
    <x v="1"/>
    <s v="Bueno"/>
  </r>
  <r>
    <d v="2020-11-04T00:00:00"/>
    <n v="4739"/>
    <x v="3"/>
    <n v="75"/>
    <n v="25.536000000000001"/>
    <x v="0"/>
    <x v="9"/>
    <x v="7"/>
    <x v="3"/>
    <x v="1"/>
    <n v="7"/>
    <n v="0"/>
    <n v="1915.2"/>
    <x v="0"/>
    <x v="1"/>
    <s v="Bueno"/>
  </r>
  <r>
    <d v="2020-09-24T00:00:00"/>
    <n v="4297"/>
    <x v="7"/>
    <n v="80"/>
    <n v="166.84800000000001"/>
    <x v="0"/>
    <x v="0"/>
    <x v="1"/>
    <x v="0"/>
    <x v="2"/>
    <n v="5"/>
    <n v="0"/>
    <n v="13347.84"/>
    <x v="0"/>
    <x v="1"/>
    <s v="Bueno"/>
  </r>
  <r>
    <d v="2020-03-03T00:00:00"/>
    <n v="4430"/>
    <x v="2"/>
    <n v="229"/>
    <n v="61.295999999999999"/>
    <x v="0"/>
    <x v="1"/>
    <x v="1"/>
    <x v="2"/>
    <x v="3"/>
    <n v="6"/>
    <n v="1"/>
    <n v="14036.784"/>
    <x v="0"/>
    <x v="0"/>
    <s v="Bueno"/>
  </r>
  <r>
    <d v="2020-05-21T00:00:00"/>
    <n v="4901"/>
    <x v="1"/>
    <n v="46"/>
    <n v="108.54"/>
    <x v="1"/>
    <x v="2"/>
    <x v="4"/>
    <x v="3"/>
    <x v="1"/>
    <n v="6"/>
    <n v="0"/>
    <n v="4992.84"/>
    <x v="1"/>
    <x v="1"/>
    <s v="Bueno"/>
  </r>
  <r>
    <d v="2020-11-11T00:00:00"/>
    <n v="4701"/>
    <x v="7"/>
    <n v="14"/>
    <n v="130.09200000000001"/>
    <x v="1"/>
    <x v="3"/>
    <x v="4"/>
    <x v="4"/>
    <x v="1"/>
    <n v="10"/>
    <n v="1"/>
    <n v="1821.2880000000002"/>
    <x v="1"/>
    <x v="0"/>
    <s v="Excelente"/>
  </r>
  <r>
    <d v="2020-10-06T00:00:00"/>
    <n v="4250"/>
    <x v="3"/>
    <n v="68"/>
    <n v="120.13200000000001"/>
    <x v="1"/>
    <x v="4"/>
    <x v="1"/>
    <x v="2"/>
    <x v="3"/>
    <n v="2"/>
    <n v="1"/>
    <n v="8168.9760000000006"/>
    <x v="1"/>
    <x v="0"/>
    <s v="Regular"/>
  </r>
  <r>
    <d v="2020-04-26T00:00:00"/>
    <n v="4205"/>
    <x v="5"/>
    <n v="156"/>
    <n v="11.124000000000001"/>
    <x v="0"/>
    <x v="5"/>
    <x v="1"/>
    <x v="2"/>
    <x v="0"/>
    <n v="1"/>
    <n v="0"/>
    <n v="1735.3440000000001"/>
    <x v="0"/>
    <x v="1"/>
    <s v="Regular"/>
  </r>
  <r>
    <d v="2020-01-11T00:00:00"/>
    <n v="4747"/>
    <x v="5"/>
    <n v="102"/>
    <n v="88.236000000000004"/>
    <x v="0"/>
    <x v="6"/>
    <x v="2"/>
    <x v="3"/>
    <x v="1"/>
    <n v="7"/>
    <n v="1"/>
    <n v="9000.0720000000001"/>
    <x v="0"/>
    <x v="0"/>
    <s v="Bueno"/>
  </r>
  <r>
    <d v="2020-09-15T00:00:00"/>
    <n v="4487"/>
    <x v="8"/>
    <n v="38"/>
    <n v="219.684"/>
    <x v="0"/>
    <x v="7"/>
    <x v="1"/>
    <x v="0"/>
    <x v="1"/>
    <n v="4"/>
    <n v="0"/>
    <n v="8347.9920000000002"/>
    <x v="0"/>
    <x v="1"/>
    <s v="Regular"/>
  </r>
  <r>
    <d v="2020-10-09T00:00:00"/>
    <n v="4579"/>
    <x v="5"/>
    <n v="205"/>
    <n v="175.69200000000001"/>
    <x v="1"/>
    <x v="8"/>
    <x v="1"/>
    <x v="1"/>
    <x v="1"/>
    <n v="10"/>
    <n v="0"/>
    <n v="36016.86"/>
    <x v="1"/>
    <x v="1"/>
    <s v="Excelente"/>
  </r>
  <r>
    <d v="2020-10-15T00:00:00"/>
    <n v="4397"/>
    <x v="2"/>
    <n v="201"/>
    <n v="144.13200000000001"/>
    <x v="1"/>
    <x v="9"/>
    <x v="1"/>
    <x v="0"/>
    <x v="1"/>
    <n v="9"/>
    <n v="0"/>
    <n v="28970.531999999999"/>
    <x v="1"/>
    <x v="1"/>
    <s v="Excelente"/>
  </r>
  <r>
    <d v="2020-08-28T00:00:00"/>
    <n v="5013"/>
    <x v="0"/>
    <n v="223"/>
    <n v="176.78399999999999"/>
    <x v="0"/>
    <x v="0"/>
    <x v="5"/>
    <x v="3"/>
    <x v="4"/>
    <n v="6"/>
    <n v="0"/>
    <n v="39422.831999999995"/>
    <x v="0"/>
    <x v="1"/>
    <s v="Bueno"/>
  </r>
  <r>
    <d v="2020-06-03T00:00:00"/>
    <n v="4699"/>
    <x v="5"/>
    <n v="173"/>
    <n v="94.212000000000003"/>
    <x v="0"/>
    <x v="1"/>
    <x v="7"/>
    <x v="1"/>
    <x v="1"/>
    <n v="10"/>
    <n v="0"/>
    <n v="16298.676000000001"/>
    <x v="0"/>
    <x v="1"/>
    <s v="Excelente"/>
  </r>
  <r>
    <d v="2020-02-16T00:00:00"/>
    <n v="4695"/>
    <x v="7"/>
    <n v="173"/>
    <n v="211.04400000000001"/>
    <x v="1"/>
    <x v="2"/>
    <x v="3"/>
    <x v="2"/>
    <x v="1"/>
    <n v="10"/>
    <n v="1"/>
    <n v="36510.612000000001"/>
    <x v="1"/>
    <x v="0"/>
    <s v="Excelente"/>
  </r>
  <r>
    <d v="2020-08-15T00:00:00"/>
    <n v="4569"/>
    <x v="3"/>
    <n v="190"/>
    <n v="137.85599999999999"/>
    <x v="1"/>
    <x v="3"/>
    <x v="1"/>
    <x v="1"/>
    <x v="1"/>
    <n v="10"/>
    <n v="0"/>
    <n v="26192.639999999999"/>
    <x v="1"/>
    <x v="1"/>
    <s v="Excelente"/>
  </r>
  <r>
    <d v="2020-10-01T00:00:00"/>
    <n v="4311"/>
    <x v="8"/>
    <n v="180"/>
    <n v="129.84"/>
    <x v="0"/>
    <x v="4"/>
    <x v="1"/>
    <x v="4"/>
    <x v="1"/>
    <n v="9"/>
    <n v="1"/>
    <n v="23371.200000000001"/>
    <x v="0"/>
    <x v="0"/>
    <s v="Excelente"/>
  </r>
  <r>
    <d v="2020-10-26T00:00:00"/>
    <n v="4536"/>
    <x v="3"/>
    <n v="140"/>
    <n v="71.460000000000008"/>
    <x v="1"/>
    <x v="5"/>
    <x v="1"/>
    <x v="4"/>
    <x v="3"/>
    <n v="1"/>
    <n v="0"/>
    <n v="10004.400000000001"/>
    <x v="1"/>
    <x v="1"/>
    <s v="Regular"/>
  </r>
  <r>
    <d v="2020-10-22T00:00:00"/>
    <n v="4388"/>
    <x v="8"/>
    <n v="189"/>
    <n v="149.11199999999999"/>
    <x v="0"/>
    <x v="6"/>
    <x v="1"/>
    <x v="3"/>
    <x v="3"/>
    <n v="2"/>
    <n v="0"/>
    <n v="28182.167999999998"/>
    <x v="0"/>
    <x v="1"/>
    <s v="Regular"/>
  </r>
  <r>
    <d v="2020-08-18T00:00:00"/>
    <n v="4455"/>
    <x v="4"/>
    <n v="198"/>
    <n v="220.44"/>
    <x v="0"/>
    <x v="7"/>
    <x v="1"/>
    <x v="2"/>
    <x v="1"/>
    <n v="9"/>
    <n v="0"/>
    <n v="43647.12"/>
    <x v="0"/>
    <x v="1"/>
    <s v="Excelente"/>
  </r>
  <r>
    <d v="2020-04-07T00:00:00"/>
    <n v="4924"/>
    <x v="2"/>
    <n v="121"/>
    <n v="104.964"/>
    <x v="0"/>
    <x v="8"/>
    <x v="7"/>
    <x v="0"/>
    <x v="3"/>
    <n v="6"/>
    <n v="0"/>
    <n v="12700.644"/>
    <x v="0"/>
    <x v="1"/>
    <s v="Bueno"/>
  </r>
  <r>
    <d v="2020-08-03T00:00:00"/>
    <n v="4404"/>
    <x v="3"/>
    <n v="57"/>
    <n v="76.332000000000008"/>
    <x v="0"/>
    <x v="9"/>
    <x v="1"/>
    <x v="1"/>
    <x v="3"/>
    <n v="6"/>
    <n v="1"/>
    <n v="4350.9240000000009"/>
    <x v="0"/>
    <x v="0"/>
    <s v="Bueno"/>
  </r>
  <r>
    <d v="2020-10-09T00:00:00"/>
    <n v="4564"/>
    <x v="8"/>
    <n v="195"/>
    <n v="62.328000000000003"/>
    <x v="0"/>
    <x v="0"/>
    <x v="1"/>
    <x v="1"/>
    <x v="3"/>
    <n v="10"/>
    <n v="1"/>
    <n v="12153.960000000001"/>
    <x v="0"/>
    <x v="0"/>
    <s v="Excelente"/>
  </r>
  <r>
    <d v="2020-01-01T00:00:00"/>
    <n v="4552"/>
    <x v="0"/>
    <n v="29"/>
    <n v="184.404"/>
    <x v="0"/>
    <x v="1"/>
    <x v="1"/>
    <x v="0"/>
    <x v="3"/>
    <n v="10"/>
    <n v="1"/>
    <n v="5347.7160000000003"/>
    <x v="0"/>
    <x v="0"/>
    <s v="Excelente"/>
  </r>
  <r>
    <d v="2020-11-21T00:00:00"/>
    <n v="4749"/>
    <x v="7"/>
    <n v="229"/>
    <n v="177.37200000000001"/>
    <x v="1"/>
    <x v="2"/>
    <x v="7"/>
    <x v="3"/>
    <x v="1"/>
    <n v="7"/>
    <n v="1"/>
    <n v="40618.188000000002"/>
    <x v="1"/>
    <x v="0"/>
    <s v="Bueno"/>
  </r>
  <r>
    <d v="2020-02-24T00:00:00"/>
    <n v="4325"/>
    <x v="1"/>
    <n v="79"/>
    <n v="119.07600000000001"/>
    <x v="0"/>
    <x v="3"/>
    <x v="1"/>
    <x v="2"/>
    <x v="1"/>
    <n v="3"/>
    <n v="0"/>
    <n v="9407.0040000000008"/>
    <x v="0"/>
    <x v="1"/>
    <s v="Regular"/>
  </r>
  <r>
    <d v="2020-01-28T00:00:00"/>
    <n v="4625"/>
    <x v="10"/>
    <n v="185"/>
    <n v="138.672"/>
    <x v="0"/>
    <x v="4"/>
    <x v="1"/>
    <x v="2"/>
    <x v="1"/>
    <n v="10"/>
    <n v="1"/>
    <n v="25654.32"/>
    <x v="0"/>
    <x v="0"/>
    <s v="Excelente"/>
  </r>
  <r>
    <d v="2020-03-26T00:00:00"/>
    <n v="4294"/>
    <x v="3"/>
    <n v="43"/>
    <n v="13.476000000000001"/>
    <x v="0"/>
    <x v="5"/>
    <x v="1"/>
    <x v="1"/>
    <x v="5"/>
    <n v="3"/>
    <n v="0"/>
    <n v="579.46800000000007"/>
    <x v="0"/>
    <x v="1"/>
    <s v="Regular"/>
  </r>
  <r>
    <d v="2020-09-10T00:00:00"/>
    <n v="4265"/>
    <x v="2"/>
    <n v="99"/>
    <n v="188.00399999999999"/>
    <x v="0"/>
    <x v="6"/>
    <x v="1"/>
    <x v="2"/>
    <x v="0"/>
    <n v="10"/>
    <n v="0"/>
    <n v="18612.396000000001"/>
    <x v="0"/>
    <x v="1"/>
    <s v="Excelente"/>
  </r>
  <r>
    <d v="2020-11-02T00:00:00"/>
    <n v="4808"/>
    <x v="1"/>
    <n v="118"/>
    <n v="211.93200000000002"/>
    <x v="0"/>
    <x v="7"/>
    <x v="5"/>
    <x v="0"/>
    <x v="3"/>
    <n v="2"/>
    <n v="1"/>
    <n v="25007.976000000002"/>
    <x v="0"/>
    <x v="0"/>
    <s v="Regular"/>
  </r>
  <r>
    <d v="2020-08-03T00:00:00"/>
    <n v="4641"/>
    <x v="8"/>
    <n v="47"/>
    <n v="92.4"/>
    <x v="0"/>
    <x v="8"/>
    <x v="1"/>
    <x v="4"/>
    <x v="1"/>
    <n v="10"/>
    <n v="0"/>
    <n v="4342.8"/>
    <x v="0"/>
    <x v="1"/>
    <s v="Excelente"/>
  </r>
  <r>
    <d v="2020-01-05T00:00:00"/>
    <n v="4554"/>
    <x v="4"/>
    <n v="107"/>
    <n v="96.695999999999998"/>
    <x v="0"/>
    <x v="9"/>
    <x v="1"/>
    <x v="1"/>
    <x v="3"/>
    <n v="10"/>
    <n v="0"/>
    <n v="10346.472"/>
    <x v="0"/>
    <x v="1"/>
    <s v="Excelente"/>
  </r>
  <r>
    <d v="2020-07-06T00:00:00"/>
    <n v="4776"/>
    <x v="0"/>
    <n v="170"/>
    <n v="217.38"/>
    <x v="0"/>
    <x v="0"/>
    <x v="4"/>
    <x v="0"/>
    <x v="3"/>
    <n v="7"/>
    <n v="1"/>
    <n v="36954.6"/>
    <x v="0"/>
    <x v="0"/>
    <s v="Bueno"/>
  </r>
  <r>
    <d v="2020-02-11T00:00:00"/>
    <n v="4909"/>
    <x v="2"/>
    <n v="210"/>
    <n v="196.18800000000002"/>
    <x v="1"/>
    <x v="1"/>
    <x v="7"/>
    <x v="3"/>
    <x v="1"/>
    <n v="6"/>
    <n v="0"/>
    <n v="41199.480000000003"/>
    <x v="1"/>
    <x v="1"/>
    <s v="Bueno"/>
  </r>
  <r>
    <d v="2020-04-11T00:00:00"/>
    <n v="4267"/>
    <x v="8"/>
    <n v="69"/>
    <n v="73.835999999999999"/>
    <x v="0"/>
    <x v="2"/>
    <x v="1"/>
    <x v="0"/>
    <x v="2"/>
    <n v="9"/>
    <n v="0"/>
    <n v="5094.6840000000002"/>
    <x v="0"/>
    <x v="1"/>
    <s v="Excelente"/>
  </r>
  <r>
    <d v="2020-04-29T00:00:00"/>
    <n v="4997"/>
    <x v="1"/>
    <n v="220"/>
    <n v="162.816"/>
    <x v="0"/>
    <x v="3"/>
    <x v="2"/>
    <x v="3"/>
    <x v="4"/>
    <n v="6"/>
    <n v="0"/>
    <n v="35819.520000000004"/>
    <x v="0"/>
    <x v="1"/>
    <s v="Bueno"/>
  </r>
  <r>
    <d v="2020-01-04T00:00:00"/>
    <n v="4853"/>
    <x v="1"/>
    <n v="136"/>
    <n v="157.16400000000002"/>
    <x v="0"/>
    <x v="4"/>
    <x v="5"/>
    <x v="3"/>
    <x v="1"/>
    <n v="1"/>
    <n v="1"/>
    <n v="21374.304000000004"/>
    <x v="0"/>
    <x v="0"/>
    <s v="Regular"/>
  </r>
  <r>
    <d v="2020-04-17T00:00:00"/>
    <n v="4495"/>
    <x v="7"/>
    <n v="159"/>
    <n v="33.252000000000002"/>
    <x v="1"/>
    <x v="5"/>
    <x v="1"/>
    <x v="2"/>
    <x v="1"/>
    <n v="4"/>
    <n v="0"/>
    <n v="5287.0680000000002"/>
    <x v="1"/>
    <x v="1"/>
    <s v="Regular"/>
  </r>
  <r>
    <d v="2020-07-23T00:00:00"/>
    <n v="4407"/>
    <x v="7"/>
    <n v="177"/>
    <n v="123.3"/>
    <x v="0"/>
    <x v="6"/>
    <x v="1"/>
    <x v="0"/>
    <x v="1"/>
    <n v="3"/>
    <n v="1"/>
    <n v="21824.1"/>
    <x v="0"/>
    <x v="0"/>
    <s v="Regular"/>
  </r>
  <r>
    <d v="2020-07-12T00:00:00"/>
    <n v="4234"/>
    <x v="8"/>
    <n v="19"/>
    <n v="27.923999999999999"/>
    <x v="1"/>
    <x v="7"/>
    <x v="1"/>
    <x v="1"/>
    <x v="5"/>
    <n v="7"/>
    <n v="1"/>
    <n v="530.55600000000004"/>
    <x v="1"/>
    <x v="0"/>
    <s v="Bueno"/>
  </r>
  <r>
    <d v="2020-03-18T00:00:00"/>
    <n v="4989"/>
    <x v="0"/>
    <n v="126"/>
    <n v="216.15600000000001"/>
    <x v="0"/>
    <x v="8"/>
    <x v="7"/>
    <x v="3"/>
    <x v="4"/>
    <n v="6"/>
    <n v="0"/>
    <n v="27235.655999999999"/>
    <x v="0"/>
    <x v="1"/>
    <s v="Bueno"/>
  </r>
  <r>
    <d v="2020-07-04T00:00:00"/>
    <n v="4291"/>
    <x v="6"/>
    <n v="72"/>
    <n v="36.048000000000002"/>
    <x v="1"/>
    <x v="9"/>
    <x v="1"/>
    <x v="4"/>
    <x v="2"/>
    <n v="7"/>
    <n v="0"/>
    <n v="2595.4560000000001"/>
    <x v="1"/>
    <x v="1"/>
    <s v="Bueno"/>
  </r>
  <r>
    <d v="2020-08-24T00:00:00"/>
    <n v="4733"/>
    <x v="3"/>
    <n v="82"/>
    <n v="59.376000000000005"/>
    <x v="0"/>
    <x v="0"/>
    <x v="5"/>
    <x v="3"/>
    <x v="1"/>
    <n v="7"/>
    <n v="0"/>
    <n v="4868.8320000000003"/>
    <x v="0"/>
    <x v="1"/>
    <s v="Bueno"/>
  </r>
  <r>
    <d v="2020-10-06T00:00:00"/>
    <n v="4927"/>
    <x v="2"/>
    <n v="114"/>
    <n v="56.387999999999998"/>
    <x v="1"/>
    <x v="1"/>
    <x v="2"/>
    <x v="3"/>
    <x v="1"/>
    <n v="6"/>
    <n v="0"/>
    <n v="6428.232"/>
    <x v="1"/>
    <x v="1"/>
    <s v="Bueno"/>
  </r>
  <r>
    <d v="2020-11-29T00:00:00"/>
    <n v="4949"/>
    <x v="1"/>
    <n v="217"/>
    <n v="9.4920000000000009"/>
    <x v="1"/>
    <x v="2"/>
    <x v="7"/>
    <x v="3"/>
    <x v="1"/>
    <n v="6"/>
    <n v="0"/>
    <n v="2059.7640000000001"/>
    <x v="1"/>
    <x v="1"/>
    <s v="Bueno"/>
  </r>
  <r>
    <d v="2020-12-06T00:00:00"/>
    <n v="4343"/>
    <x v="0"/>
    <n v="212"/>
    <n v="119.85600000000001"/>
    <x v="1"/>
    <x v="3"/>
    <x v="1"/>
    <x v="3"/>
    <x v="1"/>
    <n v="10"/>
    <n v="1"/>
    <n v="25409.472000000002"/>
    <x v="1"/>
    <x v="0"/>
    <s v="Excelente"/>
  </r>
  <r>
    <d v="2020-06-14T00:00:00"/>
    <n v="4999"/>
    <x v="2"/>
    <n v="27"/>
    <n v="135.624"/>
    <x v="1"/>
    <x v="4"/>
    <x v="7"/>
    <x v="3"/>
    <x v="4"/>
    <n v="6"/>
    <n v="0"/>
    <n v="3661.848"/>
    <x v="1"/>
    <x v="1"/>
    <s v="Bueno"/>
  </r>
  <r>
    <d v="2020-02-04T00:00:00"/>
    <n v="4243"/>
    <x v="2"/>
    <n v="76"/>
    <n v="160.68"/>
    <x v="0"/>
    <x v="5"/>
    <x v="1"/>
    <x v="3"/>
    <x v="2"/>
    <n v="8"/>
    <n v="0"/>
    <n v="12211.68"/>
    <x v="0"/>
    <x v="1"/>
    <s v="Bueno"/>
  </r>
  <r>
    <d v="2020-08-25T00:00:00"/>
    <n v="4783"/>
    <x v="2"/>
    <n v="162"/>
    <n v="206.88"/>
    <x v="1"/>
    <x v="6"/>
    <x v="5"/>
    <x v="3"/>
    <x v="1"/>
    <n v="7"/>
    <n v="1"/>
    <n v="33514.559999999998"/>
    <x v="1"/>
    <x v="0"/>
    <s v="Bueno"/>
  </r>
  <r>
    <d v="2020-08-05T00:00:00"/>
    <n v="4664"/>
    <x v="4"/>
    <n v="34"/>
    <n v="183.828"/>
    <x v="1"/>
    <x v="7"/>
    <x v="1"/>
    <x v="1"/>
    <x v="3"/>
    <n v="10"/>
    <n v="1"/>
    <n v="6250.152"/>
    <x v="1"/>
    <x v="0"/>
    <s v="Excelente"/>
  </r>
  <r>
    <d v="2020-11-25T00:00:00"/>
    <n v="4850"/>
    <x v="1"/>
    <n v="54"/>
    <n v="158.62800000000001"/>
    <x v="0"/>
    <x v="8"/>
    <x v="3"/>
    <x v="0"/>
    <x v="3"/>
    <n v="1"/>
    <n v="1"/>
    <n v="8565.9120000000003"/>
    <x v="0"/>
    <x v="0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CFD8E-0BD1-44BF-8C7D-101DFF0F1C67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T99" firstHeaderRow="1" firstDataRow="3" firstDataCol="2" rowPageCount="2" colPageCount="1"/>
  <pivotFields count="16">
    <pivotField compact="0" numFmtId="14" outline="0" showAll="0"/>
    <pivotField compact="0" outline="0" showAll="0"/>
    <pivotField axis="axisRow" compact="0" outline="0" showAll="0" sortType="descending">
      <items count="12">
        <item x="9"/>
        <item x="4"/>
        <item x="8"/>
        <item x="0"/>
        <item x="7"/>
        <item x="10"/>
        <item x="6"/>
        <item x="5"/>
        <item x="2"/>
        <item x="3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11">
        <item x="1"/>
        <item x="5"/>
        <item x="8"/>
        <item x="0"/>
        <item x="4"/>
        <item x="2"/>
        <item x="9"/>
        <item x="3"/>
        <item x="6"/>
        <item x="7"/>
        <item t="default"/>
      </items>
    </pivotField>
    <pivotField axis="axisCol" compact="0" outline="0" showAll="0">
      <items count="10">
        <item x="2"/>
        <item x="7"/>
        <item x="1"/>
        <item x="8"/>
        <item x="3"/>
        <item x="6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Page" compact="0" outline="0" showAll="0">
      <items count="3">
        <item x="1"/>
        <item h="1" x="0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2">
    <field x="2"/>
    <field x="6"/>
  </rowFields>
  <rowItems count="93">
    <i>
      <x v="3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8"/>
    </i>
    <i>
      <x v="10"/>
    </i>
    <i>
      <x v="7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t="default">
      <x v="7"/>
    </i>
    <i>
      <x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t="default">
      <x/>
    </i>
    <i>
      <x v="4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4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9"/>
    </i>
    <i>
      <x v="6"/>
      <x/>
    </i>
    <i r="1">
      <x v="3"/>
    </i>
    <i r="1">
      <x v="4"/>
    </i>
    <i r="1">
      <x v="7"/>
    </i>
    <i r="1">
      <x v="8"/>
    </i>
    <i r="1">
      <x v="9"/>
    </i>
    <i t="default">
      <x v="6"/>
    </i>
    <i>
      <x v="1"/>
      <x/>
    </i>
    <i r="1">
      <x v="1"/>
    </i>
    <i r="1">
      <x v="3"/>
    </i>
    <i r="1">
      <x v="4"/>
    </i>
    <i r="1">
      <x v="7"/>
    </i>
    <i r="1">
      <x v="8"/>
    </i>
    <i r="1">
      <x v="9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2"/>
    </i>
    <i>
      <x v="5"/>
      <x v="1"/>
    </i>
    <i r="1">
      <x v="2"/>
    </i>
    <i r="1">
      <x v="3"/>
    </i>
    <i r="1">
      <x v="5"/>
    </i>
    <i r="1">
      <x v="7"/>
    </i>
    <i r="1">
      <x v="8"/>
    </i>
    <i t="default">
      <x v="5"/>
    </i>
    <i t="grand">
      <x/>
    </i>
  </rowItems>
  <colFields count="2">
    <field x="-2"/>
    <field x="7"/>
  </colFields>
  <colItems count="18">
    <i>
      <x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i="1">
      <x v="1"/>
      <x/>
    </i>
    <i r="1" i="1">
      <x v="1"/>
    </i>
    <i r="1" i="1">
      <x v="2"/>
    </i>
    <i r="1" i="1">
      <x v="4"/>
    </i>
    <i r="1" i="1">
      <x v="5"/>
    </i>
    <i r="1" i="1">
      <x v="6"/>
    </i>
    <i r="1" i="1">
      <x v="7"/>
    </i>
    <i r="1" i="1">
      <x v="8"/>
    </i>
    <i t="grand">
      <x/>
    </i>
    <i t="grand" i="1">
      <x/>
    </i>
  </colItems>
  <pageFields count="2">
    <pageField fld="13" item="0" hier="-1"/>
    <pageField fld="14" hier="-1"/>
  </pageFields>
  <dataFields count="2">
    <dataField name="Suma de ventas totales" fld="12" baseField="0" baseItem="0" numFmtId="164"/>
    <dataField name="Suma de Ventas_2020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03CCE-6AD1-474D-A669-AB14BE972589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47:B53" firstHeaderRow="1" firstDataRow="1" firstDataCol="1" rowPageCount="3" colPageCount="1"/>
  <pivotFields count="16">
    <pivotField compact="0" numFmtId="14" outline="0" showAll="0"/>
    <pivotField compact="0" outline="0" showAll="0"/>
    <pivotField axis="axisPage" compact="0" outline="0" multipleItemSelectionAllowed="1" showAll="0" sortType="descending">
      <items count="12">
        <item h="1" x="9"/>
        <item h="1" x="4"/>
        <item h="1" x="8"/>
        <item x="0"/>
        <item h="1" x="7"/>
        <item h="1" x="10"/>
        <item h="1" x="6"/>
        <item h="1" x="5"/>
        <item x="2"/>
        <item h="1" x="3"/>
        <item h="1"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1">
        <item x="1"/>
        <item x="5"/>
        <item x="8"/>
        <item x="0"/>
        <item x="4"/>
        <item x="2"/>
        <item x="9"/>
        <item x="3"/>
        <item x="6"/>
        <item x="7"/>
        <item t="default"/>
      </items>
    </pivotField>
    <pivotField compact="0" outline="0" showAll="0">
      <items count="10">
        <item x="2"/>
        <item x="7"/>
        <item x="1"/>
        <item x="8"/>
        <item x="3"/>
        <item x="6"/>
        <item x="4"/>
        <item x="5"/>
        <item x="0"/>
        <item t="default"/>
      </items>
    </pivotField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/>
    <pivotField compact="0" outline="0" showAll="0"/>
    <pivotField dataField="1" compact="0" numFmtId="164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3" hier="-1"/>
    <pageField fld="14" hier="-1"/>
    <pageField fld="2" hier="-1"/>
  </pageFields>
  <dataFields count="1">
    <dataField name="Suma de ventas totales" fld="12" baseField="0" baseItem="0" numFmtId="164"/>
  </dataFields>
  <chartFormats count="25">
    <chartFormat chart="12" format="1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5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5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5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8600B-1123-46D6-A691-E0D6C168478F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8:C40" firstHeaderRow="1" firstDataRow="1" firstDataCol="2" rowPageCount="2" colPageCount="1"/>
  <pivotFields count="16">
    <pivotField compact="0" numFmtId="14" outline="0" showAll="0"/>
    <pivotField compact="0" outline="0" showAll="0"/>
    <pivotField axis="axisRow" compact="0" outline="0" showAll="0" sortType="descending">
      <items count="12">
        <item h="1" x="9"/>
        <item h="1" x="4"/>
        <item h="1" x="8"/>
        <item x="0"/>
        <item h="1" x="7"/>
        <item h="1" x="10"/>
        <item h="1" x="6"/>
        <item h="1" x="5"/>
        <item x="2"/>
        <item h="1" x="3"/>
        <item h="1"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1">
        <item x="1"/>
        <item x="5"/>
        <item x="8"/>
        <item x="0"/>
        <item x="4"/>
        <item x="2"/>
        <item x="9"/>
        <item x="3"/>
        <item x="6"/>
        <item x="7"/>
        <item t="default"/>
      </items>
    </pivotField>
    <pivotField compact="0" outline="0" showAll="0">
      <items count="10">
        <item x="2"/>
        <item x="7"/>
        <item x="1"/>
        <item x="8"/>
        <item x="3"/>
        <item x="6"/>
        <item x="4"/>
        <item x="5"/>
        <item x="0"/>
        <item t="default"/>
      </items>
    </pivotField>
    <pivotField compact="0" outline="0" showAll="0"/>
    <pivotField axis="axisRow"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/>
    <pivotField compact="0" outline="0" showAll="0"/>
    <pivotField dataField="1" compact="0" numFmtId="164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2">
    <field x="2"/>
    <field x="9"/>
  </rowFields>
  <rowItems count="12">
    <i>
      <x v="3"/>
      <x/>
    </i>
    <i r="1">
      <x v="1"/>
    </i>
    <i r="1">
      <x v="2"/>
    </i>
    <i r="1">
      <x v="3"/>
    </i>
    <i r="1">
      <x v="5"/>
    </i>
    <i t="default">
      <x v="3"/>
    </i>
    <i>
      <x v="8"/>
      <x/>
    </i>
    <i r="1">
      <x v="1"/>
    </i>
    <i r="1">
      <x v="2"/>
    </i>
    <i r="1">
      <x v="3"/>
    </i>
    <i t="default">
      <x v="8"/>
    </i>
    <i t="grand">
      <x/>
    </i>
  </rowItems>
  <colItems count="1">
    <i/>
  </colItems>
  <pageFields count="2">
    <pageField fld="13" hier="-1"/>
    <pageField fld="14" hier="-1"/>
  </pageFields>
  <dataFields count="1">
    <dataField name="Suma de ventas totales" fld="12" baseField="0" baseItem="0" numFmtId="164"/>
  </dataFields>
  <chartFormats count="24">
    <chartFormat chart="12" format="1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5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0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1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2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3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314D8-B989-446F-8092-C81743DBE584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D5:M18" firstHeaderRow="1" firstDataRow="2" firstDataCol="1" rowPageCount="2" colPageCount="1"/>
  <pivotFields count="16">
    <pivotField compact="0" numFmtId="14" outline="0" showAll="0"/>
    <pivotField compact="0" outline="0" showAll="0"/>
    <pivotField axis="axisRow" compact="0" outline="0" showAll="0" sortType="descending">
      <items count="12">
        <item x="9"/>
        <item x="4"/>
        <item x="8"/>
        <item x="0"/>
        <item x="7"/>
        <item x="10"/>
        <item x="6"/>
        <item x="5"/>
        <item x="2"/>
        <item x="3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1">
        <item x="1"/>
        <item x="5"/>
        <item x="8"/>
        <item x="0"/>
        <item x="4"/>
        <item x="2"/>
        <item x="9"/>
        <item x="3"/>
        <item x="6"/>
        <item x="7"/>
        <item t="default"/>
      </items>
    </pivotField>
    <pivotField axis="axisCol" compact="0" outline="0" showAll="0">
      <items count="10">
        <item x="2"/>
        <item x="7"/>
        <item x="1"/>
        <item x="8"/>
        <item x="3"/>
        <item x="6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1">
    <field x="2"/>
  </rowFields>
  <rowItems count="12">
    <i>
      <x v="3"/>
    </i>
    <i>
      <x v="8"/>
    </i>
    <i>
      <x v="10"/>
    </i>
    <i>
      <x v="7"/>
    </i>
    <i>
      <x/>
    </i>
    <i>
      <x v="4"/>
    </i>
    <i>
      <x v="9"/>
    </i>
    <i>
      <x v="6"/>
    </i>
    <i>
      <x v="1"/>
    </i>
    <i>
      <x v="2"/>
    </i>
    <i>
      <x v="5"/>
    </i>
    <i t="grand">
      <x/>
    </i>
  </rowItems>
  <colFields count="1">
    <field x="7"/>
  </colFields>
  <col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colItems>
  <pageFields count="2">
    <pageField fld="13" hier="-1"/>
    <pageField fld="14" hier="-1"/>
  </pageFields>
  <dataFields count="1">
    <dataField name="Suma de ventas totales" fld="12" baseField="0" baseItem="0" numFmtId="164"/>
  </dataFields>
  <chartFormats count="14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9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9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1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1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9" format="7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7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7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7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9" format="7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9" format="7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9" format="7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9" format="7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3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3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3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4A563-DFFE-4C6B-934E-528B504B0F54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4:B16" firstHeaderRow="1" firstDataRow="1" firstDataCol="1" rowPageCount="2" colPageCount="1"/>
  <pivotFields count="16">
    <pivotField compact="0" numFmtId="14" outline="0" showAll="0"/>
    <pivotField compact="0" outline="0" showAll="0"/>
    <pivotField axis="axisRow" compact="0" outline="0" showAll="0" sortType="descending">
      <items count="12">
        <item x="9"/>
        <item x="4"/>
        <item x="8"/>
        <item x="0"/>
        <item x="7"/>
        <item x="10"/>
        <item x="6"/>
        <item x="5"/>
        <item x="2"/>
        <item x="3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1">
        <item x="1"/>
        <item x="5"/>
        <item x="8"/>
        <item x="0"/>
        <item x="4"/>
        <item x="2"/>
        <item x="9"/>
        <item x="3"/>
        <item x="6"/>
        <item x="7"/>
        <item t="default"/>
      </items>
    </pivotField>
    <pivotField compact="0" outline="0" showAll="0">
      <items count="10">
        <item x="2"/>
        <item x="7"/>
        <item x="1"/>
        <item x="8"/>
        <item x="3"/>
        <item x="6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1">
    <field x="2"/>
  </rowFields>
  <rowItems count="12">
    <i>
      <x v="3"/>
    </i>
    <i>
      <x v="8"/>
    </i>
    <i>
      <x v="10"/>
    </i>
    <i>
      <x v="7"/>
    </i>
    <i>
      <x/>
    </i>
    <i>
      <x v="4"/>
    </i>
    <i>
      <x v="9"/>
    </i>
    <i>
      <x v="6"/>
    </i>
    <i>
      <x v="1"/>
    </i>
    <i>
      <x v="2"/>
    </i>
    <i>
      <x v="5"/>
    </i>
    <i t="grand">
      <x/>
    </i>
  </rowItems>
  <colItems count="1">
    <i/>
  </colItems>
  <pageFields count="2">
    <pageField fld="13" hier="-1"/>
    <pageField fld="14" hier="-1"/>
  </pageFields>
  <dataFields count="1">
    <dataField name="Suma de ventas totales" fld="12" baseField="0" baseItem="0" numFmtId="164"/>
  </dataFields>
  <chartFormats count="12">
    <chartFormat chart="12" format="1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EDDBB-1ADC-456B-8AD1-24809DD8D9F9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A5:D17" firstHeaderRow="1" firstDataRow="2" firstDataCol="1" rowPageCount="2" colPageCount="1"/>
  <pivotFields count="16">
    <pivotField compact="0" numFmtId="14" outline="0" showAll="0"/>
    <pivotField compact="0" outline="0" showAll="0"/>
    <pivotField axis="axisCol" compact="0" outline="0" multipleItemSelectionAllowed="1" showAll="0" sortType="descending">
      <items count="12">
        <item h="1" x="9"/>
        <item h="1" x="4"/>
        <item h="1" x="8"/>
        <item x="0"/>
        <item h="1" x="7"/>
        <item h="1" x="10"/>
        <item h="1" x="6"/>
        <item h="1" x="5"/>
        <item x="2"/>
        <item h="1" x="3"/>
        <item h="1"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11">
        <item x="1"/>
        <item x="5"/>
        <item x="8"/>
        <item x="0"/>
        <item x="4"/>
        <item x="2"/>
        <item x="9"/>
        <item x="3"/>
        <item x="6"/>
        <item x="7"/>
        <item t="default"/>
      </items>
    </pivotField>
    <pivotField compact="0" outline="0" showAll="0">
      <items count="10">
        <item x="2"/>
        <item x="7"/>
        <item x="1"/>
        <item x="8"/>
        <item x="3"/>
        <item x="6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 v="3"/>
    </i>
    <i>
      <x v="8"/>
    </i>
    <i t="grand">
      <x/>
    </i>
  </colItems>
  <pageFields count="2">
    <pageField fld="13" hier="-1"/>
    <pageField fld="14" hier="-1"/>
  </pageFields>
  <dataFields count="1">
    <dataField name="Suma de ventas totales" fld="12" baseField="0" baseItem="0" numFmtId="164"/>
  </dataFields>
  <chartFormats count="13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9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9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1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1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A6067-3258-4659-8231-E5A124753689}" name="Tabla2" displayName="Tabla2" ref="A3:P22" totalsRowShown="0">
  <autoFilter ref="A3:P22" xr:uid="{137A6067-3258-4659-8231-E5A124753689}"/>
  <tableColumns count="16">
    <tableColumn id="1" xr3:uid="{8A2AF0B5-0AD7-4F4A-A114-0EBF0BF8D84C}" name="Fecha de Compra" dataDxfId="0"/>
    <tableColumn id="2" xr3:uid="{877CB4CE-AE62-431C-8B1F-4DC503382CCC}" name="Codigo_Estudio"/>
    <tableColumn id="3" xr3:uid="{CD8790A8-2296-42B5-BBAC-D4CE9CE36CAF}" name="Categoria_Producto"/>
    <tableColumn id="4" xr3:uid="{1519E6E7-E8FE-4495-B44D-68856159664D}" name="Ventas_2020"/>
    <tableColumn id="5" xr3:uid="{74F7D1C9-6D4C-4CC0-B738-7FB7CF651E2A}" name="PrecioUS$"/>
    <tableColumn id="6" xr3:uid="{5547F6D3-8579-41CF-B644-64030AA34250}" name="Aprobación_Veterinaria"/>
    <tableColumn id="7" xr3:uid="{67003CC6-DD71-4FF1-B1F7-E1C28ADA0A27}" name="Codigo_Vendedor"/>
    <tableColumn id="8" xr3:uid="{447FE322-F9A8-4FD0-834A-1608EDD35C5F}" name="Pais_Producto"/>
    <tableColumn id="9" xr3:uid="{2C023732-9B67-4BD2-AFB1-0E7ECC99C598}" name="Tamaño_mascota"/>
    <tableColumn id="10" xr3:uid="{A4336A51-3A8C-4448-86EB-8B2F83F49F0E}" name="Tipo_mascota"/>
    <tableColumn id="11" xr3:uid="{EAF2EA9C-C64C-45AC-B855-D85D056430A8}" name="rating_segun encuesta a Consumidor"/>
    <tableColumn id="12" xr3:uid="{1F33B65A-7711-40AE-9C59-957750D53084}" name="Repite compra?"/>
    <tableColumn id="13" xr3:uid="{20CDBC76-8554-4D36-817F-739B5830934B}" name="ventas totales"/>
    <tableColumn id="14" xr3:uid="{49115F28-68A8-4281-8F4D-8C218F3AF2E2}" name="Aprobacion"/>
    <tableColumn id="15" xr3:uid="{E8CC0B70-6F6C-4101-A982-156AACE82A96}" name="Potencial de repeticion"/>
    <tableColumn id="16" xr3:uid="{1670763A-CE1E-454D-89D1-0FF852166EB1}" name="Calific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1D227-930A-4588-8151-C4B1CC582798}" name="Tabla1" displayName="Tabla1" ref="A1:P880" totalsRowShown="0">
  <autoFilter ref="A1:P880" xr:uid="{43F1D227-930A-4588-8151-C4B1CC582798}"/>
  <tableColumns count="16">
    <tableColumn id="1" xr3:uid="{C65686CD-FEDB-4CF2-A450-ED4387BF2FBB}" name="Fecha de Compra" dataDxfId="5"/>
    <tableColumn id="2" xr3:uid="{51E13FA1-B44A-452B-A4A8-A158DC9D5C14}" name="Codigo_Estudio"/>
    <tableColumn id="3" xr3:uid="{6123AE64-24C6-4A7E-98C9-3610F580C390}" name="Categoria_Producto"/>
    <tableColumn id="4" xr3:uid="{6427E78C-4981-4632-BBC7-7E4EDCB990E8}" name="Ventas_2020"/>
    <tableColumn id="5" xr3:uid="{2245233F-B384-469C-969B-ED71F4FF25B6}" name="PrecioUS$"/>
    <tableColumn id="6" xr3:uid="{CED97EC6-10F2-4B78-BE5B-D4004A7948A5}" name="Aprobación_Veterinaria"/>
    <tableColumn id="7" xr3:uid="{3FBD5CDF-F301-4042-BCE0-3A8BBDFCB0FA}" name="Codigo_Vendedor"/>
    <tableColumn id="8" xr3:uid="{0CDCB545-F270-490A-9736-45A707AD01ED}" name="Pais_Producto"/>
    <tableColumn id="9" xr3:uid="{3BAFBE3B-E3A5-483B-97F0-2B049F461E17}" name="Tamaño_mascota"/>
    <tableColumn id="10" xr3:uid="{7E573D98-CC38-4257-9C74-D8902B97D7DA}" name="Tipo_mascota"/>
    <tableColumn id="11" xr3:uid="{AF394A51-D03F-4E96-8C07-8AF16006FE4B}" name="rating_segun encuesta a Consumidor"/>
    <tableColumn id="12" xr3:uid="{AB00FF52-4566-4002-BD36-D31ADF71F2AA}" name="Repite compra?"/>
    <tableColumn id="13" xr3:uid="{AF7EE34C-B9FB-4FC1-8B2A-BD5021D788A7}" name="ventas totales" dataDxfId="4">
      <calculatedColumnFormula>D2*E2</calculatedColumnFormula>
    </tableColumn>
    <tableColumn id="14" xr3:uid="{37F522A3-06F5-41CA-A231-F70E5788BE9C}" name="Aprobacion" dataDxfId="3">
      <calculatedColumnFormula>IF(Tabla1[[#This Row],[Aprobación_Veterinaria]]=1,"APROBADO","NO APROBADO")</calculatedColumnFormula>
    </tableColumn>
    <tableColumn id="15" xr3:uid="{15343C2F-3B74-4E49-BEBF-88434A1C8793}" name="Potencial de repeticion" dataDxfId="2">
      <calculatedColumnFormula>IF(Tabla1[[#This Row],[Repite compra?]]=1,"REPITE","NO REPITE")</calculatedColumnFormula>
    </tableColumn>
    <tableColumn id="16" xr3:uid="{13496338-38FD-45AA-AD40-512C0778F0F9}" name="Calificacion" dataDxfId="1">
      <calculatedColumnFormula>IF(Tabla1[[#This Row],[rating_segun encuesta a Consumidor]]&lt;5,"Regular",IF(Tabla1[[#This Row],[rating_segun encuesta a Consumidor]]&gt;8,"Excelente","Bueno"))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1740-2A17-4721-8467-DD45C81D834A}">
  <dimension ref="A1:P22"/>
  <sheetViews>
    <sheetView workbookViewId="0"/>
  </sheetViews>
  <sheetFormatPr baseColWidth="10" defaultRowHeight="14.5" x14ac:dyDescent="0.35"/>
  <cols>
    <col min="1" max="1" width="18.54296875" bestFit="1" customWidth="1"/>
    <col min="2" max="2" width="16.81640625" bestFit="1" customWidth="1"/>
    <col min="3" max="3" width="20.7265625" bestFit="1" customWidth="1"/>
    <col min="4" max="4" width="14.453125" bestFit="1" customWidth="1"/>
    <col min="5" max="5" width="12.453125" bestFit="1" customWidth="1"/>
    <col min="6" max="6" width="23.81640625" bestFit="1" customWidth="1"/>
    <col min="7" max="7" width="18.81640625" bestFit="1" customWidth="1"/>
    <col min="8" max="8" width="15.81640625" bestFit="1" customWidth="1"/>
    <col min="9" max="9" width="18.54296875" bestFit="1" customWidth="1"/>
    <col min="10" max="10" width="15.453125" bestFit="1" customWidth="1"/>
    <col min="11" max="11" width="35.81640625" bestFit="1" customWidth="1"/>
    <col min="12" max="12" width="17.1796875" bestFit="1" customWidth="1"/>
    <col min="13" max="13" width="15.54296875" bestFit="1" customWidth="1"/>
    <col min="14" max="14" width="13.26953125" bestFit="1" customWidth="1"/>
    <col min="15" max="15" width="23.54296875" bestFit="1" customWidth="1"/>
    <col min="16" max="16" width="13.81640625" bestFit="1" customWidth="1"/>
  </cols>
  <sheetData>
    <row r="1" spans="1:16" x14ac:dyDescent="0.35">
      <c r="A1" s="6" t="s">
        <v>83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61</v>
      </c>
    </row>
    <row r="4" spans="1:16" x14ac:dyDescent="0.35">
      <c r="A4" s="1">
        <v>44115</v>
      </c>
      <c r="B4">
        <v>4381</v>
      </c>
      <c r="C4" t="s">
        <v>39</v>
      </c>
      <c r="D4">
        <v>26</v>
      </c>
      <c r="E4">
        <v>91.152000000000001</v>
      </c>
      <c r="F4">
        <v>1</v>
      </c>
      <c r="G4" t="s">
        <v>33</v>
      </c>
      <c r="H4" t="s">
        <v>22</v>
      </c>
      <c r="I4" t="s">
        <v>45</v>
      </c>
      <c r="J4" t="s">
        <v>23</v>
      </c>
      <c r="K4">
        <v>8</v>
      </c>
      <c r="L4">
        <v>1</v>
      </c>
      <c r="M4">
        <v>2369.9520000000002</v>
      </c>
      <c r="N4" t="s">
        <v>81</v>
      </c>
      <c r="O4" t="s">
        <v>82</v>
      </c>
      <c r="P4" t="s">
        <v>58</v>
      </c>
    </row>
    <row r="5" spans="1:16" x14ac:dyDescent="0.35">
      <c r="A5" s="1">
        <v>43960</v>
      </c>
      <c r="B5">
        <v>4403</v>
      </c>
      <c r="C5" t="s">
        <v>39</v>
      </c>
      <c r="D5">
        <v>207</v>
      </c>
      <c r="E5">
        <v>203.952</v>
      </c>
      <c r="F5">
        <v>1</v>
      </c>
      <c r="G5" t="s">
        <v>27</v>
      </c>
      <c r="H5" t="s">
        <v>22</v>
      </c>
      <c r="I5" t="s">
        <v>41</v>
      </c>
      <c r="J5" t="s">
        <v>23</v>
      </c>
      <c r="K5">
        <v>5</v>
      </c>
      <c r="L5">
        <v>1</v>
      </c>
      <c r="M5">
        <v>42218.063999999998</v>
      </c>
      <c r="N5" t="s">
        <v>81</v>
      </c>
      <c r="O5" t="s">
        <v>82</v>
      </c>
      <c r="P5" t="s">
        <v>58</v>
      </c>
    </row>
    <row r="6" spans="1:16" x14ac:dyDescent="0.35">
      <c r="A6" s="1">
        <v>43911</v>
      </c>
      <c r="B6">
        <v>4436</v>
      </c>
      <c r="C6" t="s">
        <v>39</v>
      </c>
      <c r="D6">
        <v>71</v>
      </c>
      <c r="E6">
        <v>71.352000000000004</v>
      </c>
      <c r="F6">
        <v>1</v>
      </c>
      <c r="G6" t="s">
        <v>33</v>
      </c>
      <c r="H6" t="s">
        <v>22</v>
      </c>
      <c r="I6" t="s">
        <v>45</v>
      </c>
      <c r="J6" t="s">
        <v>29</v>
      </c>
      <c r="K6">
        <v>6</v>
      </c>
      <c r="L6">
        <v>1</v>
      </c>
      <c r="M6">
        <v>5065.9920000000002</v>
      </c>
      <c r="N6" t="s">
        <v>81</v>
      </c>
      <c r="O6" t="s">
        <v>82</v>
      </c>
      <c r="P6" t="s">
        <v>58</v>
      </c>
    </row>
    <row r="7" spans="1:16" x14ac:dyDescent="0.35">
      <c r="A7" s="1">
        <v>44057</v>
      </c>
      <c r="B7">
        <v>4392</v>
      </c>
      <c r="C7" t="s">
        <v>39</v>
      </c>
      <c r="D7">
        <v>149</v>
      </c>
      <c r="E7">
        <v>86.975999999999999</v>
      </c>
      <c r="F7">
        <v>1</v>
      </c>
      <c r="G7" t="s">
        <v>16</v>
      </c>
      <c r="H7" t="s">
        <v>22</v>
      </c>
      <c r="I7" t="s">
        <v>18</v>
      </c>
      <c r="J7" t="s">
        <v>29</v>
      </c>
      <c r="K7">
        <v>4</v>
      </c>
      <c r="L7">
        <v>1</v>
      </c>
      <c r="M7">
        <v>12959.423999999999</v>
      </c>
      <c r="N7" t="s">
        <v>81</v>
      </c>
      <c r="O7" t="s">
        <v>82</v>
      </c>
      <c r="P7" t="s">
        <v>57</v>
      </c>
    </row>
    <row r="8" spans="1:16" x14ac:dyDescent="0.35">
      <c r="A8" s="1">
        <v>44161</v>
      </c>
      <c r="B8">
        <v>4656</v>
      </c>
      <c r="C8" t="s">
        <v>39</v>
      </c>
      <c r="D8">
        <v>115</v>
      </c>
      <c r="E8">
        <v>169.66800000000001</v>
      </c>
      <c r="F8">
        <v>1</v>
      </c>
      <c r="G8" t="s">
        <v>37</v>
      </c>
      <c r="H8" t="s">
        <v>22</v>
      </c>
      <c r="I8" t="s">
        <v>45</v>
      </c>
      <c r="J8" t="s">
        <v>29</v>
      </c>
      <c r="K8">
        <v>10</v>
      </c>
      <c r="L8">
        <v>1</v>
      </c>
      <c r="M8">
        <v>19511.82</v>
      </c>
      <c r="N8" t="s">
        <v>81</v>
      </c>
      <c r="O8" t="s">
        <v>82</v>
      </c>
      <c r="P8" t="s">
        <v>59</v>
      </c>
    </row>
    <row r="9" spans="1:16" x14ac:dyDescent="0.35">
      <c r="A9" s="1">
        <v>44133</v>
      </c>
      <c r="B9">
        <v>4359</v>
      </c>
      <c r="C9" t="s">
        <v>39</v>
      </c>
      <c r="D9">
        <v>85</v>
      </c>
      <c r="E9">
        <v>165.036</v>
      </c>
      <c r="F9">
        <v>1</v>
      </c>
      <c r="G9" t="s">
        <v>27</v>
      </c>
      <c r="H9" t="s">
        <v>22</v>
      </c>
      <c r="I9" t="s">
        <v>28</v>
      </c>
      <c r="J9" t="s">
        <v>23</v>
      </c>
      <c r="K9">
        <v>3</v>
      </c>
      <c r="L9">
        <v>1</v>
      </c>
      <c r="M9">
        <v>14028.06</v>
      </c>
      <c r="N9" t="s">
        <v>81</v>
      </c>
      <c r="O9" t="s">
        <v>82</v>
      </c>
      <c r="P9" t="s">
        <v>57</v>
      </c>
    </row>
    <row r="10" spans="1:16" x14ac:dyDescent="0.35">
      <c r="A10" s="1">
        <v>44072</v>
      </c>
      <c r="B10">
        <v>4458</v>
      </c>
      <c r="C10" t="s">
        <v>39</v>
      </c>
      <c r="D10">
        <v>34</v>
      </c>
      <c r="E10">
        <v>86.4</v>
      </c>
      <c r="F10">
        <v>1</v>
      </c>
      <c r="G10" t="s">
        <v>27</v>
      </c>
      <c r="H10" t="s">
        <v>22</v>
      </c>
      <c r="I10" t="s">
        <v>41</v>
      </c>
      <c r="J10" t="s">
        <v>29</v>
      </c>
      <c r="K10">
        <v>3</v>
      </c>
      <c r="L10">
        <v>1</v>
      </c>
      <c r="M10">
        <v>2937.6000000000004</v>
      </c>
      <c r="N10" t="s">
        <v>81</v>
      </c>
      <c r="O10" t="s">
        <v>82</v>
      </c>
      <c r="P10" t="s">
        <v>57</v>
      </c>
    </row>
    <row r="11" spans="1:16" x14ac:dyDescent="0.35">
      <c r="A11" s="1">
        <v>44011</v>
      </c>
      <c r="B11">
        <v>4708</v>
      </c>
      <c r="C11" t="s">
        <v>39</v>
      </c>
      <c r="D11">
        <v>185</v>
      </c>
      <c r="E11">
        <v>191.43600000000001</v>
      </c>
      <c r="F11">
        <v>1</v>
      </c>
      <c r="G11" t="s">
        <v>34</v>
      </c>
      <c r="H11" t="s">
        <v>50</v>
      </c>
      <c r="I11" t="s">
        <v>18</v>
      </c>
      <c r="J11" t="s">
        <v>29</v>
      </c>
      <c r="K11">
        <v>10</v>
      </c>
      <c r="L11">
        <v>1</v>
      </c>
      <c r="M11">
        <v>35415.660000000003</v>
      </c>
      <c r="N11" t="s">
        <v>81</v>
      </c>
      <c r="O11" t="s">
        <v>82</v>
      </c>
      <c r="P11" t="s">
        <v>59</v>
      </c>
    </row>
    <row r="12" spans="1:16" x14ac:dyDescent="0.35">
      <c r="A12" s="1">
        <v>44084</v>
      </c>
      <c r="B12">
        <v>4183</v>
      </c>
      <c r="C12" t="s">
        <v>39</v>
      </c>
      <c r="D12">
        <v>19</v>
      </c>
      <c r="E12">
        <v>150.072</v>
      </c>
      <c r="F12">
        <v>1</v>
      </c>
      <c r="G12" t="s">
        <v>36</v>
      </c>
      <c r="H12" t="s">
        <v>22</v>
      </c>
      <c r="I12" t="s">
        <v>41</v>
      </c>
      <c r="J12" t="s">
        <v>25</v>
      </c>
      <c r="K12">
        <v>2</v>
      </c>
      <c r="L12">
        <v>1</v>
      </c>
      <c r="M12">
        <v>2851.3679999999999</v>
      </c>
      <c r="N12" t="s">
        <v>81</v>
      </c>
      <c r="O12" t="s">
        <v>82</v>
      </c>
      <c r="P12" t="s">
        <v>57</v>
      </c>
    </row>
    <row r="13" spans="1:16" x14ac:dyDescent="0.35">
      <c r="A13" s="1">
        <v>43839</v>
      </c>
      <c r="B13">
        <v>4238</v>
      </c>
      <c r="C13" t="s">
        <v>39</v>
      </c>
      <c r="D13">
        <v>141</v>
      </c>
      <c r="E13">
        <v>228.98400000000001</v>
      </c>
      <c r="F13">
        <v>1</v>
      </c>
      <c r="G13" t="s">
        <v>40</v>
      </c>
      <c r="H13" t="s">
        <v>22</v>
      </c>
      <c r="I13" t="s">
        <v>41</v>
      </c>
      <c r="J13" t="s">
        <v>29</v>
      </c>
      <c r="K13">
        <v>10</v>
      </c>
      <c r="L13">
        <v>1</v>
      </c>
      <c r="M13">
        <v>32286.744000000002</v>
      </c>
      <c r="N13" t="s">
        <v>81</v>
      </c>
      <c r="O13" t="s">
        <v>82</v>
      </c>
      <c r="P13" t="s">
        <v>59</v>
      </c>
    </row>
    <row r="14" spans="1:16" x14ac:dyDescent="0.35">
      <c r="A14" s="1">
        <v>44013</v>
      </c>
      <c r="B14">
        <v>4337</v>
      </c>
      <c r="C14" t="s">
        <v>39</v>
      </c>
      <c r="D14">
        <v>188</v>
      </c>
      <c r="E14">
        <v>226.608</v>
      </c>
      <c r="F14">
        <v>1</v>
      </c>
      <c r="G14" t="s">
        <v>37</v>
      </c>
      <c r="H14" t="s">
        <v>22</v>
      </c>
      <c r="I14" t="s">
        <v>18</v>
      </c>
      <c r="J14" t="s">
        <v>23</v>
      </c>
      <c r="K14">
        <v>4</v>
      </c>
      <c r="L14">
        <v>1</v>
      </c>
      <c r="M14">
        <v>42602.304000000004</v>
      </c>
      <c r="N14" t="s">
        <v>81</v>
      </c>
      <c r="O14" t="s">
        <v>82</v>
      </c>
      <c r="P14" t="s">
        <v>57</v>
      </c>
    </row>
    <row r="15" spans="1:16" x14ac:dyDescent="0.35">
      <c r="A15" s="1">
        <v>43922</v>
      </c>
      <c r="B15">
        <v>4693</v>
      </c>
      <c r="C15" t="s">
        <v>39</v>
      </c>
      <c r="D15">
        <v>175</v>
      </c>
      <c r="E15">
        <v>222.696</v>
      </c>
      <c r="F15">
        <v>1</v>
      </c>
      <c r="G15" t="s">
        <v>36</v>
      </c>
      <c r="H15" t="s">
        <v>50</v>
      </c>
      <c r="I15" t="s">
        <v>41</v>
      </c>
      <c r="J15" t="s">
        <v>23</v>
      </c>
      <c r="K15">
        <v>10</v>
      </c>
      <c r="L15">
        <v>1</v>
      </c>
      <c r="M15">
        <v>38971.800000000003</v>
      </c>
      <c r="N15" t="s">
        <v>81</v>
      </c>
      <c r="O15" t="s">
        <v>82</v>
      </c>
      <c r="P15" t="s">
        <v>59</v>
      </c>
    </row>
    <row r="16" spans="1:16" x14ac:dyDescent="0.35">
      <c r="A16" s="1">
        <v>44096</v>
      </c>
      <c r="B16">
        <v>4678</v>
      </c>
      <c r="C16" t="s">
        <v>39</v>
      </c>
      <c r="D16">
        <v>131</v>
      </c>
      <c r="E16">
        <v>91.284000000000006</v>
      </c>
      <c r="F16">
        <v>1</v>
      </c>
      <c r="G16" t="s">
        <v>21</v>
      </c>
      <c r="H16" t="s">
        <v>22</v>
      </c>
      <c r="I16" t="s">
        <v>41</v>
      </c>
      <c r="J16" t="s">
        <v>29</v>
      </c>
      <c r="K16">
        <v>10</v>
      </c>
      <c r="L16">
        <v>1</v>
      </c>
      <c r="M16">
        <v>11958.204000000002</v>
      </c>
      <c r="N16" t="s">
        <v>81</v>
      </c>
      <c r="O16" t="s">
        <v>82</v>
      </c>
      <c r="P16" t="s">
        <v>59</v>
      </c>
    </row>
    <row r="17" spans="1:16" x14ac:dyDescent="0.35">
      <c r="A17" s="1">
        <v>43968</v>
      </c>
      <c r="B17">
        <v>4726</v>
      </c>
      <c r="C17" t="s">
        <v>39</v>
      </c>
      <c r="D17">
        <v>171</v>
      </c>
      <c r="E17">
        <v>45.335999999999999</v>
      </c>
      <c r="F17">
        <v>1</v>
      </c>
      <c r="G17" t="s">
        <v>21</v>
      </c>
      <c r="H17" t="s">
        <v>48</v>
      </c>
      <c r="I17" t="s">
        <v>18</v>
      </c>
      <c r="J17" t="s">
        <v>29</v>
      </c>
      <c r="K17">
        <v>10</v>
      </c>
      <c r="L17">
        <v>1</v>
      </c>
      <c r="M17">
        <v>7752.4560000000001</v>
      </c>
      <c r="N17" t="s">
        <v>81</v>
      </c>
      <c r="O17" t="s">
        <v>82</v>
      </c>
      <c r="P17" t="s">
        <v>59</v>
      </c>
    </row>
    <row r="18" spans="1:16" x14ac:dyDescent="0.35">
      <c r="A18" s="1">
        <v>43901</v>
      </c>
      <c r="B18">
        <v>4762</v>
      </c>
      <c r="C18" t="s">
        <v>39</v>
      </c>
      <c r="D18">
        <v>162</v>
      </c>
      <c r="E18">
        <v>199.44</v>
      </c>
      <c r="F18">
        <v>1</v>
      </c>
      <c r="G18" t="s">
        <v>16</v>
      </c>
      <c r="H18" t="s">
        <v>38</v>
      </c>
      <c r="I18" t="s">
        <v>18</v>
      </c>
      <c r="J18" t="s">
        <v>29</v>
      </c>
      <c r="K18">
        <v>7</v>
      </c>
      <c r="L18">
        <v>1</v>
      </c>
      <c r="M18">
        <v>32309.279999999999</v>
      </c>
      <c r="N18" t="s">
        <v>81</v>
      </c>
      <c r="O18" t="s">
        <v>82</v>
      </c>
      <c r="P18" t="s">
        <v>58</v>
      </c>
    </row>
    <row r="19" spans="1:16" x14ac:dyDescent="0.35">
      <c r="A19" s="1">
        <v>43922</v>
      </c>
      <c r="B19">
        <v>4370</v>
      </c>
      <c r="C19" t="s">
        <v>39</v>
      </c>
      <c r="D19">
        <v>147</v>
      </c>
      <c r="E19">
        <v>79.02</v>
      </c>
      <c r="F19">
        <v>1</v>
      </c>
      <c r="G19" t="s">
        <v>36</v>
      </c>
      <c r="H19" t="s">
        <v>22</v>
      </c>
      <c r="I19" t="s">
        <v>35</v>
      </c>
      <c r="J19" t="s">
        <v>29</v>
      </c>
      <c r="K19">
        <v>1</v>
      </c>
      <c r="L19">
        <v>1</v>
      </c>
      <c r="M19">
        <v>11615.939999999999</v>
      </c>
      <c r="N19" t="s">
        <v>81</v>
      </c>
      <c r="O19" t="s">
        <v>82</v>
      </c>
      <c r="P19" t="s">
        <v>57</v>
      </c>
    </row>
    <row r="20" spans="1:16" x14ac:dyDescent="0.35">
      <c r="A20" s="1">
        <v>44054</v>
      </c>
      <c r="B20">
        <v>4744</v>
      </c>
      <c r="C20" t="s">
        <v>39</v>
      </c>
      <c r="D20">
        <v>56</v>
      </c>
      <c r="E20">
        <v>22.404</v>
      </c>
      <c r="F20">
        <v>1</v>
      </c>
      <c r="G20" t="s">
        <v>34</v>
      </c>
      <c r="H20" t="s">
        <v>54</v>
      </c>
      <c r="I20" t="s">
        <v>18</v>
      </c>
      <c r="J20" t="s">
        <v>29</v>
      </c>
      <c r="K20">
        <v>7</v>
      </c>
      <c r="L20">
        <v>1</v>
      </c>
      <c r="M20">
        <v>1254.624</v>
      </c>
      <c r="N20" t="s">
        <v>81</v>
      </c>
      <c r="O20" t="s">
        <v>82</v>
      </c>
      <c r="P20" t="s">
        <v>58</v>
      </c>
    </row>
    <row r="21" spans="1:16" x14ac:dyDescent="0.35">
      <c r="A21" s="1">
        <v>43953</v>
      </c>
      <c r="B21">
        <v>4765</v>
      </c>
      <c r="C21" t="s">
        <v>39</v>
      </c>
      <c r="D21">
        <v>149</v>
      </c>
      <c r="E21">
        <v>151.06800000000001</v>
      </c>
      <c r="F21">
        <v>1</v>
      </c>
      <c r="G21" t="s">
        <v>21</v>
      </c>
      <c r="H21" t="s">
        <v>44</v>
      </c>
      <c r="I21" t="s">
        <v>41</v>
      </c>
      <c r="J21" t="s">
        <v>23</v>
      </c>
      <c r="K21">
        <v>7</v>
      </c>
      <c r="L21">
        <v>1</v>
      </c>
      <c r="M21">
        <v>22509.132000000001</v>
      </c>
      <c r="N21" t="s">
        <v>81</v>
      </c>
      <c r="O21" t="s">
        <v>82</v>
      </c>
      <c r="P21" t="s">
        <v>58</v>
      </c>
    </row>
    <row r="22" spans="1:16" x14ac:dyDescent="0.35">
      <c r="A22" s="1">
        <v>43912</v>
      </c>
      <c r="B22">
        <v>4717</v>
      </c>
      <c r="C22" t="s">
        <v>39</v>
      </c>
      <c r="D22">
        <v>78</v>
      </c>
      <c r="E22">
        <v>179.65200000000002</v>
      </c>
      <c r="F22">
        <v>1</v>
      </c>
      <c r="G22" t="s">
        <v>40</v>
      </c>
      <c r="H22" t="s">
        <v>38</v>
      </c>
      <c r="I22" t="s">
        <v>41</v>
      </c>
      <c r="J22" t="s">
        <v>23</v>
      </c>
      <c r="K22">
        <v>10</v>
      </c>
      <c r="L22">
        <v>1</v>
      </c>
      <c r="M22">
        <v>14012.856000000002</v>
      </c>
      <c r="N22" t="s">
        <v>81</v>
      </c>
      <c r="O22" t="s">
        <v>82</v>
      </c>
      <c r="P22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E308-AB84-48F2-B282-8E8A07F98A27}">
  <dimension ref="A1:T99"/>
  <sheetViews>
    <sheetView workbookViewId="0">
      <selection activeCell="B1" sqref="B1"/>
    </sheetView>
  </sheetViews>
  <sheetFormatPr baseColWidth="10" defaultRowHeight="14.5" x14ac:dyDescent="0.35"/>
  <cols>
    <col min="1" max="1" width="19.54296875" bestFit="1" customWidth="1"/>
    <col min="2" max="2" width="17.7265625" bestFit="1" customWidth="1"/>
    <col min="3" max="7" width="20.1796875" bestFit="1" customWidth="1"/>
    <col min="8" max="8" width="13.453125" customWidth="1"/>
    <col min="9" max="18" width="20.1796875" bestFit="1" customWidth="1"/>
    <col min="19" max="19" width="24.7265625" bestFit="1" customWidth="1"/>
    <col min="20" max="20" width="23.6328125" bestFit="1" customWidth="1"/>
    <col min="21" max="23" width="11.26953125" bestFit="1" customWidth="1"/>
    <col min="24" max="24" width="12.26953125" bestFit="1" customWidth="1"/>
    <col min="25" max="26" width="19.08984375" bestFit="1" customWidth="1"/>
    <col min="27" max="27" width="12.08984375" bestFit="1" customWidth="1"/>
    <col min="28" max="29" width="10.08984375" bestFit="1" customWidth="1"/>
    <col min="30" max="30" width="12.81640625" bestFit="1" customWidth="1"/>
    <col min="31" max="32" width="9.453125" bestFit="1" customWidth="1"/>
    <col min="33" max="33" width="9.54296875" bestFit="1" customWidth="1"/>
    <col min="36" max="36" width="13.6328125" bestFit="1" customWidth="1"/>
    <col min="37" max="37" width="10.1796875" bestFit="1" customWidth="1"/>
    <col min="38" max="38" width="12.90625" bestFit="1" customWidth="1"/>
    <col min="39" max="40" width="9.453125" bestFit="1" customWidth="1"/>
    <col min="41" max="41" width="10.81640625" bestFit="1" customWidth="1"/>
    <col min="42" max="43" width="9.453125" bestFit="1" customWidth="1"/>
    <col min="44" max="44" width="8.7265625" bestFit="1" customWidth="1"/>
    <col min="45" max="45" width="9.54296875" bestFit="1" customWidth="1"/>
    <col min="46" max="46" width="12.26953125" bestFit="1" customWidth="1"/>
    <col min="47" max="47" width="24.7265625" bestFit="1" customWidth="1"/>
    <col min="48" max="48" width="23.6328125" bestFit="1" customWidth="1"/>
  </cols>
  <sheetData>
    <row r="1" spans="1:20" x14ac:dyDescent="0.35">
      <c r="A1" s="5" t="s">
        <v>13</v>
      </c>
      <c r="B1" t="s">
        <v>81</v>
      </c>
    </row>
    <row r="2" spans="1:20" x14ac:dyDescent="0.35">
      <c r="A2" s="5" t="s">
        <v>14</v>
      </c>
      <c r="B2" t="s">
        <v>82</v>
      </c>
    </row>
    <row r="4" spans="1:20" x14ac:dyDescent="0.35">
      <c r="C4" s="5" t="s">
        <v>78</v>
      </c>
      <c r="D4" s="5" t="s">
        <v>7</v>
      </c>
    </row>
    <row r="5" spans="1:20" x14ac:dyDescent="0.35">
      <c r="C5" t="s">
        <v>66</v>
      </c>
      <c r="K5" t="s">
        <v>67</v>
      </c>
      <c r="S5" t="s">
        <v>79</v>
      </c>
      <c r="T5" t="s">
        <v>80</v>
      </c>
    </row>
    <row r="6" spans="1:20" x14ac:dyDescent="0.35">
      <c r="A6" s="5" t="s">
        <v>2</v>
      </c>
      <c r="B6" s="5" t="s">
        <v>6</v>
      </c>
      <c r="C6" t="s">
        <v>38</v>
      </c>
      <c r="D6" t="s">
        <v>54</v>
      </c>
      <c r="E6" t="s">
        <v>22</v>
      </c>
      <c r="F6" t="s">
        <v>44</v>
      </c>
      <c r="G6" t="s">
        <v>52</v>
      </c>
      <c r="H6" t="s">
        <v>48</v>
      </c>
      <c r="I6" t="s">
        <v>50</v>
      </c>
      <c r="J6" t="s">
        <v>17</v>
      </c>
      <c r="K6" t="s">
        <v>38</v>
      </c>
      <c r="L6" t="s">
        <v>54</v>
      </c>
      <c r="M6" t="s">
        <v>22</v>
      </c>
      <c r="N6" t="s">
        <v>44</v>
      </c>
      <c r="O6" t="s">
        <v>52</v>
      </c>
      <c r="P6" t="s">
        <v>48</v>
      </c>
      <c r="Q6" t="s">
        <v>50</v>
      </c>
      <c r="R6" t="s">
        <v>17</v>
      </c>
    </row>
    <row r="7" spans="1:20" x14ac:dyDescent="0.35">
      <c r="A7" t="s">
        <v>15</v>
      </c>
      <c r="B7" t="s">
        <v>21</v>
      </c>
      <c r="C7" s="2"/>
      <c r="D7" s="2">
        <v>3952.8</v>
      </c>
      <c r="E7" s="2"/>
      <c r="F7" s="2">
        <v>39164.400000000001</v>
      </c>
      <c r="G7" s="2">
        <v>50.868000000000002</v>
      </c>
      <c r="H7" s="2"/>
      <c r="I7" s="2"/>
      <c r="J7" s="2"/>
      <c r="L7">
        <v>135</v>
      </c>
      <c r="N7">
        <v>172</v>
      </c>
      <c r="O7">
        <v>157</v>
      </c>
      <c r="S7" s="2">
        <v>43168.068000000007</v>
      </c>
      <c r="T7">
        <v>464</v>
      </c>
    </row>
    <row r="8" spans="1:20" x14ac:dyDescent="0.35">
      <c r="B8" t="s">
        <v>33</v>
      </c>
      <c r="C8" s="2"/>
      <c r="D8" s="2">
        <v>6546.7440000000006</v>
      </c>
      <c r="E8" s="2">
        <v>7490.8680000000004</v>
      </c>
      <c r="F8" s="2"/>
      <c r="G8" s="2"/>
      <c r="H8" s="2"/>
      <c r="I8" s="2">
        <v>2449.6080000000002</v>
      </c>
      <c r="J8" s="2"/>
      <c r="L8">
        <v>54</v>
      </c>
      <c r="M8">
        <v>77</v>
      </c>
      <c r="Q8">
        <v>98</v>
      </c>
      <c r="S8" s="2">
        <v>16487.22</v>
      </c>
      <c r="T8">
        <v>229</v>
      </c>
    </row>
    <row r="9" spans="1:20" x14ac:dyDescent="0.35">
      <c r="B9" t="s">
        <v>16</v>
      </c>
      <c r="C9" s="2"/>
      <c r="D9" s="2"/>
      <c r="E9" s="2">
        <v>27012.576000000001</v>
      </c>
      <c r="F9" s="2"/>
      <c r="G9" s="2"/>
      <c r="H9" s="2"/>
      <c r="I9" s="2"/>
      <c r="J9" s="2"/>
      <c r="M9">
        <v>233</v>
      </c>
      <c r="S9" s="2">
        <v>27012.576000000001</v>
      </c>
      <c r="T9">
        <v>233</v>
      </c>
    </row>
    <row r="10" spans="1:20" x14ac:dyDescent="0.35">
      <c r="B10" t="s">
        <v>31</v>
      </c>
      <c r="C10" s="2"/>
      <c r="D10" s="2"/>
      <c r="E10" s="2">
        <v>57530.328000000009</v>
      </c>
      <c r="F10" s="2">
        <v>11492.88</v>
      </c>
      <c r="G10" s="2"/>
      <c r="H10" s="2">
        <v>32045.759999999998</v>
      </c>
      <c r="I10" s="2">
        <v>28595.759999999998</v>
      </c>
      <c r="J10" s="2"/>
      <c r="M10">
        <v>461</v>
      </c>
      <c r="N10">
        <v>140</v>
      </c>
      <c r="P10">
        <v>144</v>
      </c>
      <c r="Q10">
        <v>175</v>
      </c>
      <c r="S10" s="2">
        <v>129664.728</v>
      </c>
      <c r="T10">
        <v>920</v>
      </c>
    </row>
    <row r="11" spans="1:20" x14ac:dyDescent="0.35">
      <c r="B11" t="s">
        <v>24</v>
      </c>
      <c r="C11" s="2"/>
      <c r="D11" s="2"/>
      <c r="E11" s="2">
        <v>33852.995999999999</v>
      </c>
      <c r="F11" s="2"/>
      <c r="G11" s="2">
        <v>47680.055999999997</v>
      </c>
      <c r="H11" s="2"/>
      <c r="I11" s="2"/>
      <c r="J11" s="2"/>
      <c r="M11">
        <v>225</v>
      </c>
      <c r="O11">
        <v>214</v>
      </c>
      <c r="S11" s="2">
        <v>81533.051999999996</v>
      </c>
      <c r="T11">
        <v>439</v>
      </c>
    </row>
    <row r="12" spans="1:20" x14ac:dyDescent="0.35">
      <c r="B12" t="s">
        <v>40</v>
      </c>
      <c r="C12" s="2">
        <v>26081.387999999999</v>
      </c>
      <c r="D12" s="2"/>
      <c r="E12" s="2">
        <v>16913.808000000001</v>
      </c>
      <c r="F12" s="2">
        <v>10297.272000000001</v>
      </c>
      <c r="G12" s="2"/>
      <c r="H12" s="2"/>
      <c r="I12" s="2"/>
      <c r="J12" s="2"/>
      <c r="K12">
        <v>406</v>
      </c>
      <c r="M12">
        <v>233</v>
      </c>
      <c r="N12">
        <v>142</v>
      </c>
      <c r="S12" s="2">
        <v>53292.467999999993</v>
      </c>
      <c r="T12">
        <v>781</v>
      </c>
    </row>
    <row r="13" spans="1:20" x14ac:dyDescent="0.35">
      <c r="B13" t="s">
        <v>27</v>
      </c>
      <c r="C13" s="2"/>
      <c r="D13" s="2">
        <v>18708.000000000004</v>
      </c>
      <c r="E13" s="2">
        <v>25409.472000000002</v>
      </c>
      <c r="F13" s="2"/>
      <c r="G13" s="2"/>
      <c r="H13" s="2">
        <v>48645.324000000001</v>
      </c>
      <c r="I13" s="2"/>
      <c r="J13" s="2">
        <v>40681.440000000002</v>
      </c>
      <c r="L13">
        <v>125</v>
      </c>
      <c r="M13">
        <v>212</v>
      </c>
      <c r="P13">
        <v>217</v>
      </c>
      <c r="R13">
        <v>216</v>
      </c>
      <c r="S13" s="2">
        <v>133444.236</v>
      </c>
      <c r="T13">
        <v>770</v>
      </c>
    </row>
    <row r="14" spans="1:20" x14ac:dyDescent="0.35">
      <c r="B14" t="s">
        <v>34</v>
      </c>
      <c r="C14" s="2"/>
      <c r="D14" s="2"/>
      <c r="E14" s="2"/>
      <c r="F14" s="2"/>
      <c r="G14" s="2"/>
      <c r="H14" s="2"/>
      <c r="I14" s="2"/>
      <c r="J14" s="2">
        <v>33133.800000000003</v>
      </c>
      <c r="R14">
        <v>161</v>
      </c>
      <c r="S14" s="2">
        <v>33133.800000000003</v>
      </c>
      <c r="T14">
        <v>161</v>
      </c>
    </row>
    <row r="15" spans="1:20" x14ac:dyDescent="0.35">
      <c r="B15" t="s">
        <v>36</v>
      </c>
      <c r="C15" s="2"/>
      <c r="D15" s="2"/>
      <c r="E15" s="2">
        <v>37641.72</v>
      </c>
      <c r="F15" s="2">
        <v>12181.404</v>
      </c>
      <c r="G15" s="2"/>
      <c r="H15" s="2">
        <v>24057.971999999998</v>
      </c>
      <c r="I15" s="2"/>
      <c r="J15" s="2"/>
      <c r="M15">
        <v>401</v>
      </c>
      <c r="N15">
        <v>109</v>
      </c>
      <c r="P15">
        <v>159</v>
      </c>
      <c r="S15" s="2">
        <v>73881.096000000005</v>
      </c>
      <c r="T15">
        <v>669</v>
      </c>
    </row>
    <row r="16" spans="1:20" x14ac:dyDescent="0.35">
      <c r="A16" t="s">
        <v>69</v>
      </c>
      <c r="C16" s="2">
        <v>26081.387999999999</v>
      </c>
      <c r="D16" s="2">
        <v>29207.544000000005</v>
      </c>
      <c r="E16" s="2">
        <v>205851.76800000001</v>
      </c>
      <c r="F16" s="2">
        <v>73135.955999999991</v>
      </c>
      <c r="G16" s="2">
        <v>47730.923999999999</v>
      </c>
      <c r="H16" s="2">
        <v>104749.056</v>
      </c>
      <c r="I16" s="2">
        <v>31045.367999999999</v>
      </c>
      <c r="J16" s="2">
        <v>73815.240000000005</v>
      </c>
      <c r="K16">
        <v>406</v>
      </c>
      <c r="L16">
        <v>314</v>
      </c>
      <c r="M16">
        <v>1842</v>
      </c>
      <c r="N16">
        <v>563</v>
      </c>
      <c r="O16">
        <v>371</v>
      </c>
      <c r="P16">
        <v>520</v>
      </c>
      <c r="Q16">
        <v>273</v>
      </c>
      <c r="R16">
        <v>377</v>
      </c>
      <c r="S16" s="2">
        <v>591617.24399999995</v>
      </c>
      <c r="T16">
        <v>4666</v>
      </c>
    </row>
    <row r="17" spans="1:20" x14ac:dyDescent="0.35">
      <c r="A17" t="s">
        <v>26</v>
      </c>
      <c r="B17" t="s">
        <v>21</v>
      </c>
      <c r="C17" s="2">
        <v>402.48</v>
      </c>
      <c r="D17" s="2">
        <v>24911.208000000002</v>
      </c>
      <c r="E17" s="2">
        <v>12288.168</v>
      </c>
      <c r="F17" s="2"/>
      <c r="G17" s="2">
        <v>13764.984</v>
      </c>
      <c r="H17" s="2"/>
      <c r="I17" s="2"/>
      <c r="J17" s="2">
        <v>24759</v>
      </c>
      <c r="K17">
        <v>30</v>
      </c>
      <c r="L17">
        <v>161</v>
      </c>
      <c r="M17">
        <v>239</v>
      </c>
      <c r="O17">
        <v>94</v>
      </c>
      <c r="R17">
        <v>150</v>
      </c>
      <c r="S17" s="2">
        <v>76125.84</v>
      </c>
      <c r="T17">
        <v>674</v>
      </c>
    </row>
    <row r="18" spans="1:20" x14ac:dyDescent="0.35">
      <c r="B18" t="s">
        <v>33</v>
      </c>
      <c r="C18" s="2"/>
      <c r="D18" s="2">
        <v>10589.603999999999</v>
      </c>
      <c r="E18" s="2">
        <v>26263.56</v>
      </c>
      <c r="F18" s="2">
        <v>86.4</v>
      </c>
      <c r="G18" s="2">
        <v>40448.988000000005</v>
      </c>
      <c r="H18" s="2"/>
      <c r="I18" s="2">
        <v>31077.671999999999</v>
      </c>
      <c r="J18" s="2"/>
      <c r="L18">
        <v>149</v>
      </c>
      <c r="M18">
        <v>283</v>
      </c>
      <c r="N18">
        <v>16</v>
      </c>
      <c r="O18">
        <v>179</v>
      </c>
      <c r="Q18">
        <v>194</v>
      </c>
      <c r="S18" s="2">
        <v>108466.22400000002</v>
      </c>
      <c r="T18">
        <v>821</v>
      </c>
    </row>
    <row r="19" spans="1:20" x14ac:dyDescent="0.35">
      <c r="B19" t="s">
        <v>37</v>
      </c>
      <c r="C19" s="2"/>
      <c r="D19" s="2"/>
      <c r="E19" s="2">
        <v>1553.2920000000001</v>
      </c>
      <c r="F19" s="2">
        <v>4018.56</v>
      </c>
      <c r="G19" s="2"/>
      <c r="H19" s="2">
        <v>271.86</v>
      </c>
      <c r="I19" s="2"/>
      <c r="J19" s="2"/>
      <c r="M19">
        <v>39</v>
      </c>
      <c r="N19">
        <v>23</v>
      </c>
      <c r="P19">
        <v>5</v>
      </c>
      <c r="S19" s="2">
        <v>5843.7119999999995</v>
      </c>
      <c r="T19">
        <v>67</v>
      </c>
    </row>
    <row r="20" spans="1:20" x14ac:dyDescent="0.35">
      <c r="B20" t="s">
        <v>16</v>
      </c>
      <c r="C20" s="2"/>
      <c r="D20" s="2"/>
      <c r="E20" s="2">
        <v>63697.175999999992</v>
      </c>
      <c r="F20" s="2"/>
      <c r="G20" s="2"/>
      <c r="H20" s="2"/>
      <c r="I20" s="2"/>
      <c r="J20" s="2">
        <v>26842.752</v>
      </c>
      <c r="M20">
        <v>348</v>
      </c>
      <c r="R20">
        <v>144</v>
      </c>
      <c r="S20" s="2">
        <v>90539.927999999985</v>
      </c>
      <c r="T20">
        <v>492</v>
      </c>
    </row>
    <row r="21" spans="1:20" x14ac:dyDescent="0.35">
      <c r="B21" t="s">
        <v>31</v>
      </c>
      <c r="C21" s="2"/>
      <c r="D21" s="2">
        <v>17560.62</v>
      </c>
      <c r="E21" s="2"/>
      <c r="F21" s="2"/>
      <c r="G21" s="2"/>
      <c r="H21" s="2"/>
      <c r="I21" s="2"/>
      <c r="J21" s="2"/>
      <c r="L21">
        <v>181</v>
      </c>
      <c r="S21" s="2">
        <v>17560.62</v>
      </c>
      <c r="T21">
        <v>181</v>
      </c>
    </row>
    <row r="22" spans="1:20" x14ac:dyDescent="0.35">
      <c r="B22" t="s">
        <v>24</v>
      </c>
      <c r="C22" s="2"/>
      <c r="D22" s="2">
        <v>36303.708000000006</v>
      </c>
      <c r="E22" s="2"/>
      <c r="F22" s="2"/>
      <c r="G22" s="2"/>
      <c r="H22" s="2">
        <v>6825.18</v>
      </c>
      <c r="I22" s="2"/>
      <c r="J22" s="2"/>
      <c r="L22">
        <v>203</v>
      </c>
      <c r="P22">
        <v>95</v>
      </c>
      <c r="S22" s="2">
        <v>43128.888000000006</v>
      </c>
      <c r="T22">
        <v>298</v>
      </c>
    </row>
    <row r="23" spans="1:20" x14ac:dyDescent="0.35">
      <c r="B23" t="s">
        <v>40</v>
      </c>
      <c r="C23" s="2">
        <v>22383.54</v>
      </c>
      <c r="D23" s="2"/>
      <c r="E23" s="2">
        <v>2525.4</v>
      </c>
      <c r="F23" s="2">
        <v>8676.768</v>
      </c>
      <c r="G23" s="2"/>
      <c r="H23" s="2"/>
      <c r="I23" s="2"/>
      <c r="J23" s="2"/>
      <c r="K23">
        <v>135</v>
      </c>
      <c r="M23">
        <v>15</v>
      </c>
      <c r="N23">
        <v>67</v>
      </c>
      <c r="S23" s="2">
        <v>33585.707999999999</v>
      </c>
      <c r="T23">
        <v>217</v>
      </c>
    </row>
    <row r="24" spans="1:20" x14ac:dyDescent="0.35">
      <c r="B24" t="s">
        <v>27</v>
      </c>
      <c r="C24" s="2">
        <v>2715.6000000000004</v>
      </c>
      <c r="D24" s="2"/>
      <c r="E24" s="2">
        <v>40379.627999999997</v>
      </c>
      <c r="F24" s="2">
        <v>23045.016000000003</v>
      </c>
      <c r="G24" s="2"/>
      <c r="H24" s="2"/>
      <c r="I24" s="2">
        <v>13612.560000000001</v>
      </c>
      <c r="J24" s="2"/>
      <c r="K24">
        <v>146</v>
      </c>
      <c r="M24">
        <v>407</v>
      </c>
      <c r="N24">
        <v>151</v>
      </c>
      <c r="Q24">
        <v>130</v>
      </c>
      <c r="S24" s="2">
        <v>79752.804000000004</v>
      </c>
      <c r="T24">
        <v>834</v>
      </c>
    </row>
    <row r="25" spans="1:20" x14ac:dyDescent="0.35">
      <c r="B25" t="s">
        <v>34</v>
      </c>
      <c r="C25" s="2"/>
      <c r="D25" s="2"/>
      <c r="E25" s="2">
        <v>20197.32</v>
      </c>
      <c r="F25" s="2"/>
      <c r="G25" s="2"/>
      <c r="H25" s="2">
        <v>3292.212</v>
      </c>
      <c r="I25" s="2">
        <v>33514.559999999998</v>
      </c>
      <c r="J25" s="2">
        <v>8274.8160000000007</v>
      </c>
      <c r="M25">
        <v>130</v>
      </c>
      <c r="P25">
        <v>77</v>
      </c>
      <c r="Q25">
        <v>162</v>
      </c>
      <c r="R25">
        <v>132</v>
      </c>
      <c r="S25" s="2">
        <v>65278.907999999996</v>
      </c>
      <c r="T25">
        <v>501</v>
      </c>
    </row>
    <row r="26" spans="1:20" x14ac:dyDescent="0.35">
      <c r="A26" t="s">
        <v>68</v>
      </c>
      <c r="C26" s="2">
        <v>25501.620000000003</v>
      </c>
      <c r="D26" s="2">
        <v>89365.140000000014</v>
      </c>
      <c r="E26" s="2">
        <v>166904.54399999999</v>
      </c>
      <c r="F26" s="2">
        <v>35826.744000000006</v>
      </c>
      <c r="G26" s="2">
        <v>54213.972000000009</v>
      </c>
      <c r="H26" s="2">
        <v>10389.252</v>
      </c>
      <c r="I26" s="2">
        <v>78204.792000000001</v>
      </c>
      <c r="J26" s="2">
        <v>59876.567999999999</v>
      </c>
      <c r="K26">
        <v>311</v>
      </c>
      <c r="L26">
        <v>694</v>
      </c>
      <c r="M26">
        <v>1461</v>
      </c>
      <c r="N26">
        <v>257</v>
      </c>
      <c r="O26">
        <v>273</v>
      </c>
      <c r="P26">
        <v>177</v>
      </c>
      <c r="Q26">
        <v>486</v>
      </c>
      <c r="R26">
        <v>426</v>
      </c>
      <c r="S26" s="2">
        <v>520282.63200000004</v>
      </c>
      <c r="T26">
        <v>4085</v>
      </c>
    </row>
    <row r="27" spans="1:20" x14ac:dyDescent="0.35">
      <c r="A27" t="s">
        <v>20</v>
      </c>
      <c r="C27" s="2">
        <v>46804.331999999995</v>
      </c>
      <c r="D27" s="2">
        <v>116141.36400000002</v>
      </c>
      <c r="E27" s="2">
        <v>133130.92800000001</v>
      </c>
      <c r="F27" s="2">
        <v>39816.516000000003</v>
      </c>
      <c r="G27" s="2">
        <v>8104.14</v>
      </c>
      <c r="H27" s="2">
        <v>52534.476000000002</v>
      </c>
      <c r="I27" s="2">
        <v>17788.416000000001</v>
      </c>
      <c r="J27" s="2">
        <v>55300.608000000007</v>
      </c>
      <c r="K27">
        <v>241</v>
      </c>
      <c r="L27">
        <v>831</v>
      </c>
      <c r="M27">
        <v>787</v>
      </c>
      <c r="N27">
        <v>415</v>
      </c>
      <c r="O27">
        <v>108</v>
      </c>
      <c r="P27">
        <v>279</v>
      </c>
      <c r="Q27">
        <v>148</v>
      </c>
      <c r="R27">
        <v>376</v>
      </c>
      <c r="S27" s="2">
        <v>469620.78000000009</v>
      </c>
      <c r="T27">
        <v>3185</v>
      </c>
    </row>
    <row r="28" spans="1:20" x14ac:dyDescent="0.35">
      <c r="A28" t="s">
        <v>39</v>
      </c>
      <c r="B28" t="s">
        <v>21</v>
      </c>
      <c r="C28" s="2"/>
      <c r="D28" s="2"/>
      <c r="E28" s="2">
        <v>11958.204000000002</v>
      </c>
      <c r="F28" s="2">
        <v>22509.132000000001</v>
      </c>
      <c r="G28" s="2"/>
      <c r="H28" s="2">
        <v>7752.4560000000001</v>
      </c>
      <c r="I28" s="2"/>
      <c r="J28" s="2"/>
      <c r="M28">
        <v>131</v>
      </c>
      <c r="N28">
        <v>149</v>
      </c>
      <c r="P28">
        <v>171</v>
      </c>
      <c r="S28" s="2">
        <v>42219.792000000001</v>
      </c>
      <c r="T28">
        <v>451</v>
      </c>
    </row>
    <row r="29" spans="1:20" x14ac:dyDescent="0.35">
      <c r="B29" t="s">
        <v>33</v>
      </c>
      <c r="C29" s="2"/>
      <c r="D29" s="2"/>
      <c r="E29" s="2">
        <v>7435.9440000000004</v>
      </c>
      <c r="F29" s="2"/>
      <c r="G29" s="2"/>
      <c r="H29" s="2"/>
      <c r="I29" s="2"/>
      <c r="J29" s="2"/>
      <c r="M29">
        <v>97</v>
      </c>
      <c r="S29" s="2">
        <v>7435.9440000000004</v>
      </c>
      <c r="T29">
        <v>97</v>
      </c>
    </row>
    <row r="30" spans="1:20" x14ac:dyDescent="0.35">
      <c r="B30" t="s">
        <v>37</v>
      </c>
      <c r="C30" s="2"/>
      <c r="D30" s="2"/>
      <c r="E30" s="2">
        <v>62114.124000000003</v>
      </c>
      <c r="F30" s="2"/>
      <c r="G30" s="2"/>
      <c r="H30" s="2"/>
      <c r="I30" s="2"/>
      <c r="J30" s="2"/>
      <c r="M30">
        <v>303</v>
      </c>
      <c r="S30" s="2">
        <v>62114.124000000003</v>
      </c>
      <c r="T30">
        <v>303</v>
      </c>
    </row>
    <row r="31" spans="1:20" x14ac:dyDescent="0.35">
      <c r="B31" t="s">
        <v>16</v>
      </c>
      <c r="C31" s="2">
        <v>32309.279999999999</v>
      </c>
      <c r="D31" s="2"/>
      <c r="E31" s="2">
        <v>12959.423999999999</v>
      </c>
      <c r="F31" s="2"/>
      <c r="G31" s="2"/>
      <c r="H31" s="2"/>
      <c r="I31" s="2"/>
      <c r="J31" s="2"/>
      <c r="K31">
        <v>162</v>
      </c>
      <c r="M31">
        <v>149</v>
      </c>
      <c r="S31" s="2">
        <v>45268.703999999998</v>
      </c>
      <c r="T31">
        <v>311</v>
      </c>
    </row>
    <row r="32" spans="1:20" x14ac:dyDescent="0.35">
      <c r="B32" t="s">
        <v>40</v>
      </c>
      <c r="C32" s="2">
        <v>14012.856000000002</v>
      </c>
      <c r="D32" s="2"/>
      <c r="E32" s="2">
        <v>32286.744000000002</v>
      </c>
      <c r="F32" s="2"/>
      <c r="G32" s="2"/>
      <c r="H32" s="2"/>
      <c r="I32" s="2"/>
      <c r="J32" s="2"/>
      <c r="K32">
        <v>78</v>
      </c>
      <c r="M32">
        <v>141</v>
      </c>
      <c r="S32" s="2">
        <v>46299.600000000006</v>
      </c>
      <c r="T32">
        <v>219</v>
      </c>
    </row>
    <row r="33" spans="1:20" x14ac:dyDescent="0.35">
      <c r="B33" t="s">
        <v>27</v>
      </c>
      <c r="C33" s="2"/>
      <c r="D33" s="2"/>
      <c r="E33" s="2">
        <v>59183.723999999995</v>
      </c>
      <c r="F33" s="2"/>
      <c r="G33" s="2"/>
      <c r="H33" s="2"/>
      <c r="I33" s="2"/>
      <c r="J33" s="2"/>
      <c r="M33">
        <v>326</v>
      </c>
      <c r="S33" s="2">
        <v>59183.723999999995</v>
      </c>
      <c r="T33">
        <v>326</v>
      </c>
    </row>
    <row r="34" spans="1:20" x14ac:dyDescent="0.35">
      <c r="B34" t="s">
        <v>34</v>
      </c>
      <c r="C34" s="2"/>
      <c r="D34" s="2">
        <v>1254.624</v>
      </c>
      <c r="E34" s="2"/>
      <c r="F34" s="2"/>
      <c r="G34" s="2"/>
      <c r="H34" s="2"/>
      <c r="I34" s="2">
        <v>35415.660000000003</v>
      </c>
      <c r="J34" s="2"/>
      <c r="L34">
        <v>56</v>
      </c>
      <c r="Q34">
        <v>185</v>
      </c>
      <c r="S34" s="2">
        <v>36670.284000000007</v>
      </c>
      <c r="T34">
        <v>241</v>
      </c>
    </row>
    <row r="35" spans="1:20" x14ac:dyDescent="0.35">
      <c r="B35" t="s">
        <v>36</v>
      </c>
      <c r="C35" s="2"/>
      <c r="D35" s="2"/>
      <c r="E35" s="2">
        <v>14467.307999999999</v>
      </c>
      <c r="F35" s="2"/>
      <c r="G35" s="2"/>
      <c r="H35" s="2"/>
      <c r="I35" s="2">
        <v>38971.800000000003</v>
      </c>
      <c r="J35" s="2"/>
      <c r="M35">
        <v>166</v>
      </c>
      <c r="Q35">
        <v>175</v>
      </c>
      <c r="S35" s="2">
        <v>53439.108</v>
      </c>
      <c r="T35">
        <v>341</v>
      </c>
    </row>
    <row r="36" spans="1:20" x14ac:dyDescent="0.35">
      <c r="A36" t="s">
        <v>70</v>
      </c>
      <c r="C36" s="2">
        <v>46322.135999999999</v>
      </c>
      <c r="D36" s="2">
        <v>1254.624</v>
      </c>
      <c r="E36" s="2">
        <v>200405.47199999998</v>
      </c>
      <c r="F36" s="2">
        <v>22509.132000000001</v>
      </c>
      <c r="G36" s="2"/>
      <c r="H36" s="2">
        <v>7752.4560000000001</v>
      </c>
      <c r="I36" s="2">
        <v>74387.460000000006</v>
      </c>
      <c r="J36" s="2"/>
      <c r="K36">
        <v>240</v>
      </c>
      <c r="L36">
        <v>56</v>
      </c>
      <c r="M36">
        <v>1313</v>
      </c>
      <c r="N36">
        <v>149</v>
      </c>
      <c r="P36">
        <v>171</v>
      </c>
      <c r="Q36">
        <v>360</v>
      </c>
      <c r="S36" s="2">
        <v>352631.28</v>
      </c>
      <c r="T36">
        <v>2289</v>
      </c>
    </row>
    <row r="37" spans="1:20" x14ac:dyDescent="0.35">
      <c r="A37" t="s">
        <v>47</v>
      </c>
      <c r="B37" t="s">
        <v>21</v>
      </c>
      <c r="C37" s="2"/>
      <c r="D37" s="2"/>
      <c r="E37" s="2">
        <v>30516.768</v>
      </c>
      <c r="F37" s="2"/>
      <c r="G37" s="2"/>
      <c r="H37" s="2"/>
      <c r="I37" s="2"/>
      <c r="J37" s="2"/>
      <c r="M37">
        <v>138</v>
      </c>
      <c r="S37" s="2">
        <v>30516.768</v>
      </c>
      <c r="T37">
        <v>138</v>
      </c>
    </row>
    <row r="38" spans="1:20" x14ac:dyDescent="0.35">
      <c r="B38" t="s">
        <v>33</v>
      </c>
      <c r="C38" s="2"/>
      <c r="D38" s="2"/>
      <c r="E38" s="2">
        <v>34534.656000000003</v>
      </c>
      <c r="F38" s="2"/>
      <c r="G38" s="2"/>
      <c r="H38" s="2"/>
      <c r="I38" s="2"/>
      <c r="J38" s="2"/>
      <c r="M38">
        <v>208</v>
      </c>
      <c r="S38" s="2">
        <v>34534.656000000003</v>
      </c>
      <c r="T38">
        <v>208</v>
      </c>
    </row>
    <row r="39" spans="1:20" x14ac:dyDescent="0.35">
      <c r="B39" t="s">
        <v>37</v>
      </c>
      <c r="C39" s="2"/>
      <c r="D39" s="2"/>
      <c r="E39" s="2">
        <v>70398.444000000003</v>
      </c>
      <c r="F39" s="2"/>
      <c r="G39" s="2"/>
      <c r="H39" s="2"/>
      <c r="I39" s="2"/>
      <c r="J39" s="2"/>
      <c r="M39">
        <v>488</v>
      </c>
      <c r="S39" s="2">
        <v>70398.444000000003</v>
      </c>
      <c r="T39">
        <v>488</v>
      </c>
    </row>
    <row r="40" spans="1:20" x14ac:dyDescent="0.35">
      <c r="B40" t="s">
        <v>16</v>
      </c>
      <c r="C40" s="2"/>
      <c r="D40" s="2"/>
      <c r="E40" s="2">
        <v>28083.552000000003</v>
      </c>
      <c r="F40" s="2"/>
      <c r="G40" s="2"/>
      <c r="H40" s="2"/>
      <c r="I40" s="2"/>
      <c r="J40" s="2"/>
      <c r="M40">
        <v>184</v>
      </c>
      <c r="S40" s="2">
        <v>28083.552000000003</v>
      </c>
      <c r="T40">
        <v>184</v>
      </c>
    </row>
    <row r="41" spans="1:20" x14ac:dyDescent="0.35">
      <c r="B41" t="s">
        <v>31</v>
      </c>
      <c r="C41" s="2"/>
      <c r="D41" s="2"/>
      <c r="E41" s="2">
        <v>78847.296000000002</v>
      </c>
      <c r="F41" s="2"/>
      <c r="G41" s="2"/>
      <c r="H41" s="2"/>
      <c r="I41" s="2"/>
      <c r="J41" s="2"/>
      <c r="M41">
        <v>498</v>
      </c>
      <c r="S41" s="2">
        <v>78847.296000000002</v>
      </c>
      <c r="T41">
        <v>498</v>
      </c>
    </row>
    <row r="42" spans="1:20" x14ac:dyDescent="0.35">
      <c r="B42" t="s">
        <v>40</v>
      </c>
      <c r="C42" s="2"/>
      <c r="D42" s="2"/>
      <c r="E42" s="2">
        <v>34555.08</v>
      </c>
      <c r="F42" s="2"/>
      <c r="G42" s="2"/>
      <c r="H42" s="2"/>
      <c r="I42" s="2"/>
      <c r="J42" s="2"/>
      <c r="M42">
        <v>217</v>
      </c>
      <c r="S42" s="2">
        <v>34555.08</v>
      </c>
      <c r="T42">
        <v>217</v>
      </c>
    </row>
    <row r="43" spans="1:20" x14ac:dyDescent="0.35">
      <c r="B43" t="s">
        <v>27</v>
      </c>
      <c r="C43" s="2"/>
      <c r="D43" s="2"/>
      <c r="E43" s="2">
        <v>55782.479999999996</v>
      </c>
      <c r="F43" s="2"/>
      <c r="G43" s="2"/>
      <c r="H43" s="2"/>
      <c r="I43" s="2"/>
      <c r="J43" s="2"/>
      <c r="M43">
        <v>299</v>
      </c>
      <c r="S43" s="2">
        <v>55782.479999999996</v>
      </c>
      <c r="T43">
        <v>299</v>
      </c>
    </row>
    <row r="44" spans="1:20" x14ac:dyDescent="0.35">
      <c r="B44" t="s">
        <v>36</v>
      </c>
      <c r="C44" s="2"/>
      <c r="D44" s="2"/>
      <c r="E44" s="2">
        <v>6562.5839999999998</v>
      </c>
      <c r="F44" s="2"/>
      <c r="G44" s="2"/>
      <c r="H44" s="2"/>
      <c r="I44" s="2"/>
      <c r="J44" s="2"/>
      <c r="M44">
        <v>29</v>
      </c>
      <c r="S44" s="2">
        <v>6562.5839999999998</v>
      </c>
      <c r="T44">
        <v>29</v>
      </c>
    </row>
    <row r="45" spans="1:20" x14ac:dyDescent="0.35">
      <c r="A45" t="s">
        <v>73</v>
      </c>
      <c r="C45" s="2"/>
      <c r="D45" s="2"/>
      <c r="E45" s="2">
        <v>339280.86</v>
      </c>
      <c r="F45" s="2"/>
      <c r="G45" s="2"/>
      <c r="H45" s="2"/>
      <c r="I45" s="2"/>
      <c r="J45" s="2"/>
      <c r="M45">
        <v>2061</v>
      </c>
      <c r="S45" s="2">
        <v>339280.86</v>
      </c>
      <c r="T45">
        <v>2061</v>
      </c>
    </row>
    <row r="46" spans="1:20" x14ac:dyDescent="0.35">
      <c r="A46" t="s">
        <v>43</v>
      </c>
      <c r="B46" t="s">
        <v>21</v>
      </c>
      <c r="C46" s="2"/>
      <c r="D46" s="2"/>
      <c r="E46" s="2">
        <v>47254.608</v>
      </c>
      <c r="F46" s="2"/>
      <c r="G46" s="2"/>
      <c r="H46" s="2"/>
      <c r="I46" s="2"/>
      <c r="J46" s="2"/>
      <c r="M46">
        <v>249</v>
      </c>
      <c r="S46" s="2">
        <v>47254.608</v>
      </c>
      <c r="T46">
        <v>249</v>
      </c>
    </row>
    <row r="47" spans="1:20" x14ac:dyDescent="0.35">
      <c r="B47" t="s">
        <v>33</v>
      </c>
      <c r="C47" s="2"/>
      <c r="D47" s="2"/>
      <c r="E47" s="2">
        <v>35865.755999999994</v>
      </c>
      <c r="F47" s="2"/>
      <c r="G47" s="2"/>
      <c r="H47" s="2"/>
      <c r="I47" s="2"/>
      <c r="J47" s="2"/>
      <c r="M47">
        <v>180</v>
      </c>
      <c r="S47" s="2">
        <v>35865.755999999994</v>
      </c>
      <c r="T47">
        <v>180</v>
      </c>
    </row>
    <row r="48" spans="1:20" x14ac:dyDescent="0.35">
      <c r="B48" t="s">
        <v>37</v>
      </c>
      <c r="C48" s="2"/>
      <c r="D48" s="2"/>
      <c r="E48" s="2"/>
      <c r="F48" s="2">
        <v>43741.62</v>
      </c>
      <c r="G48" s="2"/>
      <c r="H48" s="2"/>
      <c r="I48" s="2">
        <v>21076.464</v>
      </c>
      <c r="J48" s="2"/>
      <c r="N48">
        <v>195</v>
      </c>
      <c r="Q48">
        <v>125</v>
      </c>
      <c r="S48" s="2">
        <v>64818.084000000003</v>
      </c>
      <c r="T48">
        <v>320</v>
      </c>
    </row>
    <row r="49" spans="1:20" x14ac:dyDescent="0.35">
      <c r="B49" t="s">
        <v>16</v>
      </c>
      <c r="C49" s="2"/>
      <c r="D49" s="2"/>
      <c r="E49" s="2">
        <v>26506.512000000002</v>
      </c>
      <c r="F49" s="2"/>
      <c r="G49" s="2"/>
      <c r="H49" s="2"/>
      <c r="I49" s="2"/>
      <c r="J49" s="2"/>
      <c r="M49">
        <v>412</v>
      </c>
      <c r="S49" s="2">
        <v>26506.512000000002</v>
      </c>
      <c r="T49">
        <v>412</v>
      </c>
    </row>
    <row r="50" spans="1:20" x14ac:dyDescent="0.35">
      <c r="B50" t="s">
        <v>24</v>
      </c>
      <c r="C50" s="2"/>
      <c r="D50" s="2">
        <v>40618.188000000002</v>
      </c>
      <c r="E50" s="2">
        <v>5910.768</v>
      </c>
      <c r="F50" s="2">
        <v>36510.612000000001</v>
      </c>
      <c r="G50" s="2"/>
      <c r="H50" s="2"/>
      <c r="I50" s="2"/>
      <c r="J50" s="2"/>
      <c r="L50">
        <v>229</v>
      </c>
      <c r="M50">
        <v>113</v>
      </c>
      <c r="N50">
        <v>173</v>
      </c>
      <c r="S50" s="2">
        <v>83039.567999999999</v>
      </c>
      <c r="T50">
        <v>515</v>
      </c>
    </row>
    <row r="51" spans="1:20" x14ac:dyDescent="0.35">
      <c r="B51" t="s">
        <v>40</v>
      </c>
      <c r="C51" s="2"/>
      <c r="D51" s="2"/>
      <c r="E51" s="2">
        <v>18392.099999999999</v>
      </c>
      <c r="F51" s="2">
        <v>3702.2999999999997</v>
      </c>
      <c r="G51" s="2"/>
      <c r="H51" s="2"/>
      <c r="I51" s="2"/>
      <c r="J51" s="2"/>
      <c r="M51">
        <v>101</v>
      </c>
      <c r="N51">
        <v>41</v>
      </c>
      <c r="S51" s="2">
        <v>22094.399999999998</v>
      </c>
      <c r="T51">
        <v>142</v>
      </c>
    </row>
    <row r="52" spans="1:20" x14ac:dyDescent="0.35">
      <c r="B52" t="s">
        <v>27</v>
      </c>
      <c r="C52" s="2"/>
      <c r="D52" s="2"/>
      <c r="E52" s="2">
        <v>1041.4559999999999</v>
      </c>
      <c r="F52" s="2">
        <v>341.00400000000002</v>
      </c>
      <c r="G52" s="2"/>
      <c r="H52" s="2">
        <v>1821.2880000000002</v>
      </c>
      <c r="I52" s="2"/>
      <c r="J52" s="2"/>
      <c r="M52">
        <v>13</v>
      </c>
      <c r="N52">
        <v>157</v>
      </c>
      <c r="P52">
        <v>14</v>
      </c>
      <c r="S52" s="2">
        <v>3203.7480000000005</v>
      </c>
      <c r="T52">
        <v>184</v>
      </c>
    </row>
    <row r="53" spans="1:20" x14ac:dyDescent="0.35">
      <c r="B53" t="s">
        <v>34</v>
      </c>
      <c r="C53" s="2"/>
      <c r="D53" s="2">
        <v>2965.5360000000001</v>
      </c>
      <c r="E53" s="2"/>
      <c r="F53" s="2"/>
      <c r="G53" s="2"/>
      <c r="H53" s="2">
        <v>18120.995999999999</v>
      </c>
      <c r="I53" s="2">
        <v>4046.64</v>
      </c>
      <c r="J53" s="2"/>
      <c r="L53">
        <v>14</v>
      </c>
      <c r="P53">
        <v>181</v>
      </c>
      <c r="Q53">
        <v>130</v>
      </c>
      <c r="S53" s="2">
        <v>25133.171999999999</v>
      </c>
      <c r="T53">
        <v>325</v>
      </c>
    </row>
    <row r="54" spans="1:20" x14ac:dyDescent="0.35">
      <c r="B54" t="s">
        <v>36</v>
      </c>
      <c r="C54" s="2"/>
      <c r="D54" s="2"/>
      <c r="E54" s="2">
        <v>1724.0640000000001</v>
      </c>
      <c r="F54" s="2"/>
      <c r="G54" s="2"/>
      <c r="H54" s="2"/>
      <c r="I54" s="2"/>
      <c r="J54" s="2"/>
      <c r="M54">
        <v>8</v>
      </c>
      <c r="S54" s="2">
        <v>1724.0640000000001</v>
      </c>
      <c r="T54">
        <v>8</v>
      </c>
    </row>
    <row r="55" spans="1:20" x14ac:dyDescent="0.35">
      <c r="A55" t="s">
        <v>72</v>
      </c>
      <c r="C55" s="2"/>
      <c r="D55" s="2">
        <v>43583.724000000002</v>
      </c>
      <c r="E55" s="2">
        <v>136695.26400000002</v>
      </c>
      <c r="F55" s="2">
        <v>84295.536000000007</v>
      </c>
      <c r="G55" s="2"/>
      <c r="H55" s="2">
        <v>19942.284</v>
      </c>
      <c r="I55" s="2">
        <v>25123.103999999999</v>
      </c>
      <c r="J55" s="2"/>
      <c r="L55">
        <v>243</v>
      </c>
      <c r="M55">
        <v>1076</v>
      </c>
      <c r="N55">
        <v>566</v>
      </c>
      <c r="P55">
        <v>195</v>
      </c>
      <c r="Q55">
        <v>255</v>
      </c>
      <c r="S55" s="2">
        <v>309639.91200000007</v>
      </c>
      <c r="T55">
        <v>2335</v>
      </c>
    </row>
    <row r="56" spans="1:20" x14ac:dyDescent="0.35">
      <c r="A56" t="s">
        <v>30</v>
      </c>
      <c r="B56" t="s">
        <v>21</v>
      </c>
      <c r="C56" s="2"/>
      <c r="D56" s="2"/>
      <c r="E56" s="2">
        <v>46778.508000000002</v>
      </c>
      <c r="F56" s="2"/>
      <c r="G56" s="2"/>
      <c r="H56" s="2"/>
      <c r="I56" s="2"/>
      <c r="J56" s="2"/>
      <c r="M56">
        <v>203</v>
      </c>
      <c r="S56" s="2">
        <v>46778.508000000002</v>
      </c>
      <c r="T56">
        <v>203</v>
      </c>
    </row>
    <row r="57" spans="1:20" x14ac:dyDescent="0.35">
      <c r="B57" t="s">
        <v>33</v>
      </c>
      <c r="C57" s="2"/>
      <c r="D57" s="2"/>
      <c r="E57" s="2">
        <v>26335.944</v>
      </c>
      <c r="F57" s="2"/>
      <c r="G57" s="2"/>
      <c r="H57" s="2"/>
      <c r="I57" s="2"/>
      <c r="J57" s="2"/>
      <c r="M57">
        <v>174</v>
      </c>
      <c r="S57" s="2">
        <v>26335.944</v>
      </c>
      <c r="T57">
        <v>174</v>
      </c>
    </row>
    <row r="58" spans="1:20" x14ac:dyDescent="0.35">
      <c r="B58" t="s">
        <v>37</v>
      </c>
      <c r="C58" s="2"/>
      <c r="D58" s="2"/>
      <c r="E58" s="2">
        <v>21293.280000000002</v>
      </c>
      <c r="F58" s="2"/>
      <c r="G58" s="2"/>
      <c r="H58" s="2"/>
      <c r="I58" s="2"/>
      <c r="J58" s="2"/>
      <c r="M58">
        <v>118</v>
      </c>
      <c r="S58" s="2">
        <v>21293.280000000002</v>
      </c>
      <c r="T58">
        <v>118</v>
      </c>
    </row>
    <row r="59" spans="1:20" x14ac:dyDescent="0.35">
      <c r="B59" t="s">
        <v>16</v>
      </c>
      <c r="C59" s="2"/>
      <c r="D59" s="2"/>
      <c r="E59" s="2">
        <v>8258.4840000000004</v>
      </c>
      <c r="F59" s="2"/>
      <c r="G59" s="2"/>
      <c r="H59" s="2"/>
      <c r="I59" s="2"/>
      <c r="J59" s="2"/>
      <c r="M59">
        <v>167</v>
      </c>
      <c r="S59" s="2">
        <v>8258.4840000000004</v>
      </c>
      <c r="T59">
        <v>167</v>
      </c>
    </row>
    <row r="60" spans="1:20" x14ac:dyDescent="0.35">
      <c r="B60" t="s">
        <v>31</v>
      </c>
      <c r="C60" s="2"/>
      <c r="D60" s="2"/>
      <c r="E60" s="2">
        <v>51784.764000000003</v>
      </c>
      <c r="F60" s="2"/>
      <c r="G60" s="2"/>
      <c r="H60" s="2">
        <v>751.53599999999994</v>
      </c>
      <c r="I60" s="2"/>
      <c r="J60" s="2"/>
      <c r="M60">
        <v>381</v>
      </c>
      <c r="P60">
        <v>68</v>
      </c>
      <c r="S60" s="2">
        <v>52536.3</v>
      </c>
      <c r="T60">
        <v>449</v>
      </c>
    </row>
    <row r="61" spans="1:20" x14ac:dyDescent="0.35">
      <c r="B61" t="s">
        <v>24</v>
      </c>
      <c r="C61" s="2"/>
      <c r="D61" s="2"/>
      <c r="E61" s="2"/>
      <c r="F61" s="2"/>
      <c r="G61" s="2"/>
      <c r="H61" s="2"/>
      <c r="I61" s="2">
        <v>27066.923999999999</v>
      </c>
      <c r="J61" s="2"/>
      <c r="Q61">
        <v>141</v>
      </c>
      <c r="S61" s="2">
        <v>27066.923999999999</v>
      </c>
      <c r="T61">
        <v>141</v>
      </c>
    </row>
    <row r="62" spans="1:20" x14ac:dyDescent="0.35">
      <c r="B62" t="s">
        <v>40</v>
      </c>
      <c r="C62" s="2"/>
      <c r="D62" s="2"/>
      <c r="E62" s="2">
        <v>21304.968000000001</v>
      </c>
      <c r="F62" s="2"/>
      <c r="G62" s="2"/>
      <c r="H62" s="2"/>
      <c r="I62" s="2"/>
      <c r="J62" s="2"/>
      <c r="M62">
        <v>186</v>
      </c>
      <c r="S62" s="2">
        <v>21304.968000000001</v>
      </c>
      <c r="T62">
        <v>186</v>
      </c>
    </row>
    <row r="63" spans="1:20" x14ac:dyDescent="0.35">
      <c r="B63" t="s">
        <v>27</v>
      </c>
      <c r="C63" s="2"/>
      <c r="D63" s="2"/>
      <c r="E63" s="2"/>
      <c r="F63" s="2"/>
      <c r="G63" s="2"/>
      <c r="H63" s="2"/>
      <c r="I63" s="2">
        <v>3563.1720000000005</v>
      </c>
      <c r="J63" s="2"/>
      <c r="Q63">
        <v>87</v>
      </c>
      <c r="S63" s="2">
        <v>3563.1720000000005</v>
      </c>
      <c r="T63">
        <v>87</v>
      </c>
    </row>
    <row r="64" spans="1:20" x14ac:dyDescent="0.35">
      <c r="B64" t="s">
        <v>34</v>
      </c>
      <c r="C64" s="2"/>
      <c r="D64" s="2"/>
      <c r="E64" s="2">
        <v>14064.047999999999</v>
      </c>
      <c r="F64" s="2"/>
      <c r="G64" s="2"/>
      <c r="H64" s="2"/>
      <c r="I64" s="2"/>
      <c r="J64" s="2"/>
      <c r="M64">
        <v>268</v>
      </c>
      <c r="S64" s="2">
        <v>14064.047999999999</v>
      </c>
      <c r="T64">
        <v>268</v>
      </c>
    </row>
    <row r="65" spans="1:20" x14ac:dyDescent="0.35">
      <c r="B65" t="s">
        <v>36</v>
      </c>
      <c r="C65" s="2"/>
      <c r="D65" s="2"/>
      <c r="E65" s="2">
        <v>1511.0400000000002</v>
      </c>
      <c r="F65" s="2"/>
      <c r="G65" s="2"/>
      <c r="H65" s="2">
        <v>18886.008000000002</v>
      </c>
      <c r="I65" s="2"/>
      <c r="J65" s="2"/>
      <c r="M65">
        <v>10</v>
      </c>
      <c r="P65">
        <v>131</v>
      </c>
      <c r="S65" s="2">
        <v>20397.048000000003</v>
      </c>
      <c r="T65">
        <v>141</v>
      </c>
    </row>
    <row r="66" spans="1:20" x14ac:dyDescent="0.35">
      <c r="A66" t="s">
        <v>71</v>
      </c>
      <c r="C66" s="2"/>
      <c r="D66" s="2"/>
      <c r="E66" s="2">
        <v>191331.03600000002</v>
      </c>
      <c r="F66" s="2"/>
      <c r="G66" s="2"/>
      <c r="H66" s="2">
        <v>19637.544000000002</v>
      </c>
      <c r="I66" s="2">
        <v>30630.095999999998</v>
      </c>
      <c r="J66" s="2"/>
      <c r="M66">
        <v>1507</v>
      </c>
      <c r="P66">
        <v>199</v>
      </c>
      <c r="Q66">
        <v>228</v>
      </c>
      <c r="S66" s="2">
        <v>241598.67600000001</v>
      </c>
      <c r="T66">
        <v>1934</v>
      </c>
    </row>
    <row r="67" spans="1:20" x14ac:dyDescent="0.35">
      <c r="A67" t="s">
        <v>42</v>
      </c>
      <c r="B67" t="s">
        <v>21</v>
      </c>
      <c r="C67" s="2"/>
      <c r="D67" s="2"/>
      <c r="E67" s="2">
        <v>84991.212</v>
      </c>
      <c r="F67" s="2"/>
      <c r="G67" s="2"/>
      <c r="H67" s="2"/>
      <c r="I67" s="2"/>
      <c r="J67" s="2"/>
      <c r="M67">
        <v>560</v>
      </c>
      <c r="S67" s="2">
        <v>84991.212</v>
      </c>
      <c r="T67">
        <v>560</v>
      </c>
    </row>
    <row r="68" spans="1:20" x14ac:dyDescent="0.35">
      <c r="B68" t="s">
        <v>16</v>
      </c>
      <c r="C68" s="2"/>
      <c r="D68" s="2"/>
      <c r="E68" s="2">
        <v>58171.835999999996</v>
      </c>
      <c r="F68" s="2"/>
      <c r="G68" s="2"/>
      <c r="H68" s="2"/>
      <c r="I68" s="2"/>
      <c r="J68" s="2"/>
      <c r="M68">
        <v>439</v>
      </c>
      <c r="S68" s="2">
        <v>58171.835999999996</v>
      </c>
      <c r="T68">
        <v>439</v>
      </c>
    </row>
    <row r="69" spans="1:20" x14ac:dyDescent="0.35">
      <c r="B69" t="s">
        <v>31</v>
      </c>
      <c r="C69" s="2"/>
      <c r="D69" s="2"/>
      <c r="E69" s="2">
        <v>26722.98</v>
      </c>
      <c r="F69" s="2"/>
      <c r="G69" s="2"/>
      <c r="H69" s="2"/>
      <c r="I69" s="2"/>
      <c r="J69" s="2"/>
      <c r="M69">
        <v>341</v>
      </c>
      <c r="S69" s="2">
        <v>26722.98</v>
      </c>
      <c r="T69">
        <v>341</v>
      </c>
    </row>
    <row r="70" spans="1:20" x14ac:dyDescent="0.35">
      <c r="B70" t="s">
        <v>27</v>
      </c>
      <c r="C70" s="2"/>
      <c r="D70" s="2"/>
      <c r="E70" s="2">
        <v>5539.4280000000008</v>
      </c>
      <c r="F70" s="2"/>
      <c r="G70" s="2"/>
      <c r="H70" s="2"/>
      <c r="I70" s="2"/>
      <c r="J70" s="2"/>
      <c r="M70">
        <v>27</v>
      </c>
      <c r="S70" s="2">
        <v>5539.4280000000008</v>
      </c>
      <c r="T70">
        <v>27</v>
      </c>
    </row>
    <row r="71" spans="1:20" x14ac:dyDescent="0.35">
      <c r="B71" t="s">
        <v>34</v>
      </c>
      <c r="C71" s="2"/>
      <c r="D71" s="2"/>
      <c r="E71" s="2">
        <v>2996.8319999999999</v>
      </c>
      <c r="F71" s="2"/>
      <c r="G71" s="2"/>
      <c r="H71" s="2"/>
      <c r="I71" s="2"/>
      <c r="J71" s="2"/>
      <c r="M71">
        <v>31</v>
      </c>
      <c r="S71" s="2">
        <v>2996.8319999999999</v>
      </c>
      <c r="T71">
        <v>31</v>
      </c>
    </row>
    <row r="72" spans="1:20" x14ac:dyDescent="0.35">
      <c r="B72" t="s">
        <v>36</v>
      </c>
      <c r="C72" s="2"/>
      <c r="D72" s="2"/>
      <c r="E72" s="2">
        <v>37725.840000000004</v>
      </c>
      <c r="F72" s="2"/>
      <c r="G72" s="2"/>
      <c r="H72" s="2"/>
      <c r="I72" s="2"/>
      <c r="J72" s="2"/>
      <c r="M72">
        <v>330</v>
      </c>
      <c r="S72" s="2">
        <v>37725.840000000004</v>
      </c>
      <c r="T72">
        <v>330</v>
      </c>
    </row>
    <row r="73" spans="1:20" x14ac:dyDescent="0.35">
      <c r="A73" t="s">
        <v>77</v>
      </c>
      <c r="C73" s="2"/>
      <c r="D73" s="2"/>
      <c r="E73" s="2">
        <v>216148.12800000003</v>
      </c>
      <c r="F73" s="2"/>
      <c r="G73" s="2"/>
      <c r="H73" s="2"/>
      <c r="I73" s="2"/>
      <c r="J73" s="2"/>
      <c r="M73">
        <v>1728</v>
      </c>
      <c r="S73" s="2">
        <v>216148.12800000003</v>
      </c>
      <c r="T73">
        <v>1728</v>
      </c>
    </row>
    <row r="74" spans="1:20" x14ac:dyDescent="0.35">
      <c r="A74" t="s">
        <v>32</v>
      </c>
      <c r="B74" t="s">
        <v>21</v>
      </c>
      <c r="C74" s="2"/>
      <c r="D74" s="2"/>
      <c r="E74" s="2">
        <v>25285.703999999998</v>
      </c>
      <c r="F74" s="2"/>
      <c r="G74" s="2"/>
      <c r="H74" s="2"/>
      <c r="I74" s="2"/>
      <c r="J74" s="2"/>
      <c r="M74">
        <v>256</v>
      </c>
      <c r="S74" s="2">
        <v>25285.703999999998</v>
      </c>
      <c r="T74">
        <v>256</v>
      </c>
    </row>
    <row r="75" spans="1:20" x14ac:dyDescent="0.35">
      <c r="B75" t="s">
        <v>33</v>
      </c>
      <c r="C75" s="2"/>
      <c r="D75" s="2"/>
      <c r="E75" s="2">
        <v>1092.9360000000001</v>
      </c>
      <c r="F75" s="2"/>
      <c r="G75" s="2"/>
      <c r="H75" s="2"/>
      <c r="I75" s="2"/>
      <c r="J75" s="2"/>
      <c r="M75">
        <v>13</v>
      </c>
      <c r="S75" s="2">
        <v>1092.9360000000001</v>
      </c>
      <c r="T75">
        <v>13</v>
      </c>
    </row>
    <row r="76" spans="1:20" x14ac:dyDescent="0.35">
      <c r="B76" t="s">
        <v>16</v>
      </c>
      <c r="C76" s="2"/>
      <c r="D76" s="2"/>
      <c r="E76" s="2">
        <v>25063.547999999999</v>
      </c>
      <c r="F76" s="2"/>
      <c r="G76" s="2"/>
      <c r="H76" s="2"/>
      <c r="I76" s="2"/>
      <c r="J76" s="2"/>
      <c r="M76">
        <v>173</v>
      </c>
      <c r="S76" s="2">
        <v>25063.547999999999</v>
      </c>
      <c r="T76">
        <v>173</v>
      </c>
    </row>
    <row r="77" spans="1:20" x14ac:dyDescent="0.35">
      <c r="B77" t="s">
        <v>31</v>
      </c>
      <c r="C77" s="2"/>
      <c r="D77" s="2"/>
      <c r="E77" s="2">
        <v>40268.58</v>
      </c>
      <c r="F77" s="2"/>
      <c r="G77" s="2"/>
      <c r="H77" s="2"/>
      <c r="I77" s="2"/>
      <c r="J77" s="2"/>
      <c r="M77">
        <v>187</v>
      </c>
      <c r="S77" s="2">
        <v>40268.58</v>
      </c>
      <c r="T77">
        <v>187</v>
      </c>
    </row>
    <row r="78" spans="1:20" x14ac:dyDescent="0.35">
      <c r="B78" t="s">
        <v>27</v>
      </c>
      <c r="C78" s="2"/>
      <c r="D78" s="2"/>
      <c r="E78" s="2">
        <v>14699.052</v>
      </c>
      <c r="F78" s="2"/>
      <c r="G78" s="2"/>
      <c r="H78" s="2"/>
      <c r="I78" s="2"/>
      <c r="J78" s="2"/>
      <c r="M78">
        <v>176</v>
      </c>
      <c r="S78" s="2">
        <v>14699.052</v>
      </c>
      <c r="T78">
        <v>176</v>
      </c>
    </row>
    <row r="79" spans="1:20" x14ac:dyDescent="0.35">
      <c r="B79" t="s">
        <v>34</v>
      </c>
      <c r="C79" s="2"/>
      <c r="D79" s="2"/>
      <c r="E79" s="2">
        <v>37269.18</v>
      </c>
      <c r="F79" s="2"/>
      <c r="G79" s="2"/>
      <c r="H79" s="2"/>
      <c r="I79" s="2"/>
      <c r="J79" s="2"/>
      <c r="M79">
        <v>195</v>
      </c>
      <c r="S79" s="2">
        <v>37269.18</v>
      </c>
      <c r="T79">
        <v>195</v>
      </c>
    </row>
    <row r="80" spans="1:20" x14ac:dyDescent="0.35">
      <c r="B80" t="s">
        <v>36</v>
      </c>
      <c r="C80" s="2"/>
      <c r="D80" s="2"/>
      <c r="E80" s="2">
        <v>17976.18</v>
      </c>
      <c r="F80" s="2"/>
      <c r="G80" s="2"/>
      <c r="H80" s="2"/>
      <c r="I80" s="2"/>
      <c r="J80" s="2"/>
      <c r="M80">
        <v>325</v>
      </c>
      <c r="S80" s="2">
        <v>17976.18</v>
      </c>
      <c r="T80">
        <v>325</v>
      </c>
    </row>
    <row r="81" spans="1:20" x14ac:dyDescent="0.35">
      <c r="A81" t="s">
        <v>75</v>
      </c>
      <c r="C81" s="2"/>
      <c r="D81" s="2"/>
      <c r="E81" s="2">
        <v>161655.18</v>
      </c>
      <c r="F81" s="2"/>
      <c r="G81" s="2"/>
      <c r="H81" s="2"/>
      <c r="I81" s="2"/>
      <c r="J81" s="2"/>
      <c r="M81">
        <v>1325</v>
      </c>
      <c r="S81" s="2">
        <v>161655.18</v>
      </c>
      <c r="T81">
        <v>1325</v>
      </c>
    </row>
    <row r="82" spans="1:20" x14ac:dyDescent="0.35">
      <c r="A82" t="s">
        <v>46</v>
      </c>
      <c r="B82" t="s">
        <v>21</v>
      </c>
      <c r="C82" s="2"/>
      <c r="D82" s="2"/>
      <c r="E82" s="2">
        <v>7465.7520000000004</v>
      </c>
      <c r="F82" s="2"/>
      <c r="G82" s="2"/>
      <c r="H82" s="2"/>
      <c r="I82" s="2"/>
      <c r="J82" s="2"/>
      <c r="M82">
        <v>42</v>
      </c>
      <c r="S82" s="2">
        <v>7465.7520000000004</v>
      </c>
      <c r="T82">
        <v>42</v>
      </c>
    </row>
    <row r="83" spans="1:20" x14ac:dyDescent="0.35">
      <c r="B83" t="s">
        <v>33</v>
      </c>
      <c r="C83" s="2"/>
      <c r="D83" s="2"/>
      <c r="E83" s="2">
        <v>18585.684000000001</v>
      </c>
      <c r="F83" s="2"/>
      <c r="G83" s="2"/>
      <c r="H83" s="2"/>
      <c r="I83" s="2"/>
      <c r="J83" s="2"/>
      <c r="M83">
        <v>151</v>
      </c>
      <c r="S83" s="2">
        <v>18585.684000000001</v>
      </c>
      <c r="T83">
        <v>151</v>
      </c>
    </row>
    <row r="84" spans="1:20" x14ac:dyDescent="0.35">
      <c r="B84" t="s">
        <v>37</v>
      </c>
      <c r="C84" s="2"/>
      <c r="D84" s="2"/>
      <c r="E84" s="2">
        <v>8695.5</v>
      </c>
      <c r="F84" s="2"/>
      <c r="G84" s="2"/>
      <c r="H84" s="2"/>
      <c r="I84" s="2"/>
      <c r="J84" s="2"/>
      <c r="M84">
        <v>55</v>
      </c>
      <c r="S84" s="2">
        <v>8695.5</v>
      </c>
      <c r="T84">
        <v>55</v>
      </c>
    </row>
    <row r="85" spans="1:20" x14ac:dyDescent="0.35">
      <c r="B85" t="s">
        <v>16</v>
      </c>
      <c r="C85" s="2"/>
      <c r="D85" s="2"/>
      <c r="E85" s="2">
        <v>26548.368000000002</v>
      </c>
      <c r="F85" s="2"/>
      <c r="G85" s="2"/>
      <c r="H85" s="2"/>
      <c r="I85" s="2"/>
      <c r="J85" s="2"/>
      <c r="M85">
        <v>121</v>
      </c>
      <c r="S85" s="2">
        <v>26548.368000000002</v>
      </c>
      <c r="T85">
        <v>121</v>
      </c>
    </row>
    <row r="86" spans="1:20" x14ac:dyDescent="0.35">
      <c r="B86" t="s">
        <v>24</v>
      </c>
      <c r="C86" s="2"/>
      <c r="D86" s="2"/>
      <c r="E86" s="2">
        <v>70579.644</v>
      </c>
      <c r="F86" s="2"/>
      <c r="G86" s="2"/>
      <c r="H86" s="2"/>
      <c r="I86" s="2"/>
      <c r="J86" s="2"/>
      <c r="M86">
        <v>489</v>
      </c>
      <c r="S86" s="2">
        <v>70579.644</v>
      </c>
      <c r="T86">
        <v>489</v>
      </c>
    </row>
    <row r="87" spans="1:20" x14ac:dyDescent="0.35">
      <c r="B87" t="s">
        <v>40</v>
      </c>
      <c r="C87" s="2"/>
      <c r="D87" s="2"/>
      <c r="E87" s="2">
        <v>335.32800000000003</v>
      </c>
      <c r="F87" s="2"/>
      <c r="G87" s="2"/>
      <c r="H87" s="2"/>
      <c r="I87" s="2"/>
      <c r="J87" s="2"/>
      <c r="M87">
        <v>56</v>
      </c>
      <c r="S87" s="2">
        <v>335.32800000000003</v>
      </c>
      <c r="T87">
        <v>56</v>
      </c>
    </row>
    <row r="88" spans="1:20" x14ac:dyDescent="0.35">
      <c r="B88" t="s">
        <v>27</v>
      </c>
      <c r="C88" s="2"/>
      <c r="D88" s="2"/>
      <c r="E88" s="2">
        <v>25694.928</v>
      </c>
      <c r="F88" s="2"/>
      <c r="G88" s="2"/>
      <c r="H88" s="2"/>
      <c r="I88" s="2"/>
      <c r="J88" s="2"/>
      <c r="M88">
        <v>116</v>
      </c>
      <c r="S88" s="2">
        <v>25694.928</v>
      </c>
      <c r="T88">
        <v>116</v>
      </c>
    </row>
    <row r="89" spans="1:20" x14ac:dyDescent="0.35">
      <c r="B89" t="s">
        <v>34</v>
      </c>
      <c r="C89" s="2"/>
      <c r="D89" s="2"/>
      <c r="E89" s="2">
        <v>1653.7919999999999</v>
      </c>
      <c r="F89" s="2"/>
      <c r="G89" s="2"/>
      <c r="H89" s="2"/>
      <c r="I89" s="2"/>
      <c r="J89" s="2"/>
      <c r="M89">
        <v>46</v>
      </c>
      <c r="S89" s="2">
        <v>1653.7919999999999</v>
      </c>
      <c r="T89">
        <v>46</v>
      </c>
    </row>
    <row r="90" spans="1:20" x14ac:dyDescent="0.35">
      <c r="B90" t="s">
        <v>36</v>
      </c>
      <c r="C90" s="2"/>
      <c r="D90" s="2"/>
      <c r="E90" s="2">
        <v>963.70800000000008</v>
      </c>
      <c r="F90" s="2"/>
      <c r="G90" s="2"/>
      <c r="H90" s="2"/>
      <c r="I90" s="2"/>
      <c r="J90" s="2"/>
      <c r="M90">
        <v>160</v>
      </c>
      <c r="S90" s="2">
        <v>963.70800000000008</v>
      </c>
      <c r="T90">
        <v>160</v>
      </c>
    </row>
    <row r="91" spans="1:20" x14ac:dyDescent="0.35">
      <c r="A91" t="s">
        <v>74</v>
      </c>
      <c r="C91" s="2"/>
      <c r="D91" s="2"/>
      <c r="E91" s="2">
        <v>160522.70400000003</v>
      </c>
      <c r="F91" s="2"/>
      <c r="G91" s="2"/>
      <c r="H91" s="2"/>
      <c r="I91" s="2"/>
      <c r="J91" s="2"/>
      <c r="M91">
        <v>1236</v>
      </c>
      <c r="S91" s="2">
        <v>160522.70400000003</v>
      </c>
      <c r="T91">
        <v>1236</v>
      </c>
    </row>
    <row r="92" spans="1:20" x14ac:dyDescent="0.35">
      <c r="A92" t="s">
        <v>51</v>
      </c>
      <c r="B92" t="s">
        <v>33</v>
      </c>
      <c r="C92" s="2"/>
      <c r="D92" s="2"/>
      <c r="E92" s="2">
        <v>29065.344000000001</v>
      </c>
      <c r="F92" s="2"/>
      <c r="G92" s="2"/>
      <c r="H92" s="2"/>
      <c r="I92" s="2"/>
      <c r="J92" s="2"/>
      <c r="M92">
        <v>224</v>
      </c>
      <c r="S92" s="2">
        <v>29065.344000000001</v>
      </c>
      <c r="T92">
        <v>224</v>
      </c>
    </row>
    <row r="93" spans="1:20" x14ac:dyDescent="0.35">
      <c r="B93" t="s">
        <v>37</v>
      </c>
      <c r="C93" s="2"/>
      <c r="D93" s="2"/>
      <c r="E93" s="2">
        <v>20594.52</v>
      </c>
      <c r="F93" s="2"/>
      <c r="G93" s="2"/>
      <c r="H93" s="2"/>
      <c r="I93" s="2"/>
      <c r="J93" s="2"/>
      <c r="M93">
        <v>90</v>
      </c>
      <c r="S93" s="2">
        <v>20594.52</v>
      </c>
      <c r="T93">
        <v>90</v>
      </c>
    </row>
    <row r="94" spans="1:20" x14ac:dyDescent="0.35">
      <c r="B94" t="s">
        <v>16</v>
      </c>
      <c r="C94" s="2"/>
      <c r="D94" s="2"/>
      <c r="E94" s="2">
        <v>11275.199999999999</v>
      </c>
      <c r="F94" s="2"/>
      <c r="G94" s="2"/>
      <c r="H94" s="2"/>
      <c r="I94" s="2"/>
      <c r="J94" s="2"/>
      <c r="M94">
        <v>200</v>
      </c>
      <c r="S94" s="2">
        <v>11275.199999999999</v>
      </c>
      <c r="T94">
        <v>200</v>
      </c>
    </row>
    <row r="95" spans="1:20" x14ac:dyDescent="0.35">
      <c r="B95" t="s">
        <v>24</v>
      </c>
      <c r="C95" s="2"/>
      <c r="D95" s="2"/>
      <c r="E95" s="2">
        <v>26623.56</v>
      </c>
      <c r="F95" s="2"/>
      <c r="G95" s="2"/>
      <c r="H95" s="2"/>
      <c r="I95" s="2"/>
      <c r="J95" s="2"/>
      <c r="M95">
        <v>285</v>
      </c>
      <c r="S95" s="2">
        <v>26623.56</v>
      </c>
      <c r="T95">
        <v>285</v>
      </c>
    </row>
    <row r="96" spans="1:20" x14ac:dyDescent="0.35">
      <c r="B96" t="s">
        <v>27</v>
      </c>
      <c r="C96" s="2"/>
      <c r="D96" s="2"/>
      <c r="E96" s="2">
        <v>22776.516</v>
      </c>
      <c r="F96" s="2"/>
      <c r="G96" s="2"/>
      <c r="H96" s="2"/>
      <c r="I96" s="2"/>
      <c r="J96" s="2"/>
      <c r="M96">
        <v>233</v>
      </c>
      <c r="S96" s="2">
        <v>22776.516</v>
      </c>
      <c r="T96">
        <v>233</v>
      </c>
    </row>
    <row r="97" spans="1:20" x14ac:dyDescent="0.35">
      <c r="B97" t="s">
        <v>34</v>
      </c>
      <c r="C97" s="2"/>
      <c r="D97" s="2"/>
      <c r="E97" s="2">
        <v>25780.871999999999</v>
      </c>
      <c r="F97" s="2"/>
      <c r="G97" s="2"/>
      <c r="H97" s="2"/>
      <c r="I97" s="2"/>
      <c r="J97" s="2"/>
      <c r="M97">
        <v>187</v>
      </c>
      <c r="S97" s="2">
        <v>25780.871999999999</v>
      </c>
      <c r="T97">
        <v>187</v>
      </c>
    </row>
    <row r="98" spans="1:20" x14ac:dyDescent="0.35">
      <c r="A98" t="s">
        <v>76</v>
      </c>
      <c r="C98" s="2"/>
      <c r="D98" s="2"/>
      <c r="E98" s="2">
        <v>136116.01199999999</v>
      </c>
      <c r="F98" s="2"/>
      <c r="G98" s="2"/>
      <c r="H98" s="2"/>
      <c r="I98" s="2"/>
      <c r="J98" s="2"/>
      <c r="M98">
        <v>1219</v>
      </c>
      <c r="S98" s="2">
        <v>136116.01199999999</v>
      </c>
      <c r="T98">
        <v>1219</v>
      </c>
    </row>
    <row r="99" spans="1:20" x14ac:dyDescent="0.35">
      <c r="A99" t="s">
        <v>65</v>
      </c>
      <c r="C99" s="2">
        <v>144709.476</v>
      </c>
      <c r="D99" s="2">
        <v>279552.39600000001</v>
      </c>
      <c r="E99" s="2">
        <v>2048041.8959999995</v>
      </c>
      <c r="F99" s="2">
        <v>255583.88399999999</v>
      </c>
      <c r="G99" s="2">
        <v>110049.03600000001</v>
      </c>
      <c r="H99" s="2">
        <v>215005.06799999997</v>
      </c>
      <c r="I99" s="2">
        <v>257179.23599999998</v>
      </c>
      <c r="J99" s="2">
        <v>188992.416</v>
      </c>
      <c r="K99">
        <v>1198</v>
      </c>
      <c r="L99">
        <v>2138</v>
      </c>
      <c r="M99">
        <v>15555</v>
      </c>
      <c r="N99">
        <v>1950</v>
      </c>
      <c r="O99">
        <v>752</v>
      </c>
      <c r="P99">
        <v>1541</v>
      </c>
      <c r="Q99">
        <v>1750</v>
      </c>
      <c r="R99">
        <v>1179</v>
      </c>
      <c r="S99" s="2">
        <v>3499113.4079999989</v>
      </c>
      <c r="T99">
        <v>26063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31AA-FE36-41E6-AE10-722833BD25AD}">
  <dimension ref="A1:M53"/>
  <sheetViews>
    <sheetView workbookViewId="0">
      <selection activeCell="C3" sqref="C3"/>
    </sheetView>
  </sheetViews>
  <sheetFormatPr baseColWidth="10" defaultRowHeight="15" x14ac:dyDescent="0.35"/>
  <cols>
    <col min="1" max="1" width="19.453125" bestFit="1" customWidth="1"/>
    <col min="2" max="4" width="20.1796875" bestFit="1" customWidth="1"/>
    <col min="5" max="5" width="15" bestFit="1" customWidth="1"/>
    <col min="6" max="6" width="16.1796875" customWidth="1"/>
    <col min="7" max="7" width="16.7265625" customWidth="1"/>
    <col min="8" max="8" width="14.453125" customWidth="1"/>
    <col min="9" max="12" width="15" bestFit="1" customWidth="1"/>
    <col min="13" max="13" width="12.81640625" bestFit="1" customWidth="1"/>
    <col min="14" max="17" width="20.1796875" bestFit="1" customWidth="1"/>
    <col min="18" max="18" width="24.7265625" bestFit="1" customWidth="1"/>
    <col min="19" max="19" width="23.6328125" bestFit="1" customWidth="1"/>
    <col min="20" max="20" width="25" bestFit="1" customWidth="1"/>
    <col min="21" max="23" width="12.1796875" bestFit="1" customWidth="1"/>
    <col min="24" max="24" width="13" bestFit="1" customWidth="1"/>
    <col min="25" max="25" width="20.26953125" bestFit="1" customWidth="1"/>
    <col min="26" max="26" width="7" bestFit="1" customWidth="1"/>
    <col min="27" max="27" width="12.81640625" bestFit="1" customWidth="1"/>
    <col min="28" max="28" width="10.7265625" bestFit="1" customWidth="1"/>
    <col min="29" max="29" width="7" bestFit="1" customWidth="1"/>
    <col min="30" max="30" width="13.7265625" bestFit="1" customWidth="1"/>
    <col min="31" max="31" width="10.1796875" bestFit="1" customWidth="1"/>
    <col min="32" max="32" width="7" bestFit="1" customWidth="1"/>
    <col min="33" max="33" width="10.1796875" bestFit="1" customWidth="1"/>
    <col min="34" max="34" width="11.54296875" bestFit="1" customWidth="1"/>
    <col min="35" max="35" width="7" bestFit="1" customWidth="1"/>
    <col min="36" max="36" width="14.54296875" bestFit="1" customWidth="1"/>
    <col min="37" max="37" width="10.81640625" bestFit="1" customWidth="1"/>
    <col min="38" max="38" width="13.7265625" bestFit="1" customWidth="1"/>
    <col min="39" max="39" width="10.1796875" bestFit="1" customWidth="1"/>
    <col min="40" max="40" width="7" bestFit="1" customWidth="1"/>
    <col min="41" max="41" width="11.54296875" bestFit="1" customWidth="1"/>
    <col min="42" max="42" width="10.1796875" bestFit="1" customWidth="1"/>
    <col min="43" max="43" width="7" bestFit="1" customWidth="1"/>
    <col min="44" max="44" width="9.26953125" bestFit="1" customWidth="1"/>
    <col min="45" max="45" width="10.1796875" bestFit="1" customWidth="1"/>
    <col min="46" max="46" width="13" bestFit="1" customWidth="1"/>
    <col min="47" max="47" width="26.1796875" bestFit="1" customWidth="1"/>
    <col min="48" max="48" width="25" bestFit="1" customWidth="1"/>
  </cols>
  <sheetData>
    <row r="1" spans="1:13" x14ac:dyDescent="0.35">
      <c r="A1" s="5" t="s">
        <v>13</v>
      </c>
      <c r="B1" t="s">
        <v>81</v>
      </c>
    </row>
    <row r="2" spans="1:13" x14ac:dyDescent="0.35">
      <c r="A2" s="5" t="s">
        <v>14</v>
      </c>
      <c r="B2" t="s">
        <v>82</v>
      </c>
      <c r="D2" t="s">
        <v>13</v>
      </c>
      <c r="E2" t="s">
        <v>81</v>
      </c>
    </row>
    <row r="3" spans="1:13" x14ac:dyDescent="0.35">
      <c r="D3" t="s">
        <v>14</v>
      </c>
      <c r="E3" t="s">
        <v>82</v>
      </c>
    </row>
    <row r="4" spans="1:13" x14ac:dyDescent="0.35">
      <c r="A4" s="5" t="s">
        <v>2</v>
      </c>
      <c r="B4" t="s">
        <v>66</v>
      </c>
    </row>
    <row r="5" spans="1:13" x14ac:dyDescent="0.35">
      <c r="A5" t="s">
        <v>15</v>
      </c>
      <c r="B5" s="2">
        <v>591617.24399999995</v>
      </c>
      <c r="D5" t="s">
        <v>66</v>
      </c>
      <c r="E5" t="s">
        <v>7</v>
      </c>
    </row>
    <row r="6" spans="1:13" x14ac:dyDescent="0.35">
      <c r="A6" t="s">
        <v>26</v>
      </c>
      <c r="B6" s="2">
        <v>520282.63199999993</v>
      </c>
      <c r="D6" t="s">
        <v>2</v>
      </c>
      <c r="E6" t="s">
        <v>38</v>
      </c>
      <c r="F6" t="s">
        <v>54</v>
      </c>
      <c r="G6" t="s">
        <v>22</v>
      </c>
      <c r="H6" t="s">
        <v>44</v>
      </c>
      <c r="I6" t="s">
        <v>52</v>
      </c>
      <c r="J6" t="s">
        <v>48</v>
      </c>
      <c r="K6" t="s">
        <v>50</v>
      </c>
      <c r="L6" t="s">
        <v>17</v>
      </c>
      <c r="M6" t="s">
        <v>65</v>
      </c>
    </row>
    <row r="7" spans="1:13" x14ac:dyDescent="0.35">
      <c r="A7" t="s">
        <v>20</v>
      </c>
      <c r="B7" s="2">
        <v>469620.78</v>
      </c>
      <c r="D7" t="s">
        <v>15</v>
      </c>
      <c r="E7" s="2">
        <v>26081.387999999999</v>
      </c>
      <c r="F7" s="2">
        <v>29207.544000000005</v>
      </c>
      <c r="G7" s="2">
        <v>205851.76800000004</v>
      </c>
      <c r="H7" s="2">
        <v>73135.955999999991</v>
      </c>
      <c r="I7" s="2">
        <v>47730.923999999999</v>
      </c>
      <c r="J7" s="2">
        <v>104749.056</v>
      </c>
      <c r="K7" s="2">
        <v>31045.367999999999</v>
      </c>
      <c r="L7" s="2">
        <v>73815.240000000005</v>
      </c>
      <c r="M7" s="2">
        <v>591617.24400000006</v>
      </c>
    </row>
    <row r="8" spans="1:13" x14ac:dyDescent="0.35">
      <c r="A8" t="s">
        <v>39</v>
      </c>
      <c r="B8" s="2">
        <v>352631.28</v>
      </c>
      <c r="D8" t="s">
        <v>26</v>
      </c>
      <c r="E8" s="2">
        <v>25501.620000000003</v>
      </c>
      <c r="F8" s="2">
        <v>89365.14</v>
      </c>
      <c r="G8" s="2">
        <v>166904.54399999999</v>
      </c>
      <c r="H8" s="2">
        <v>35826.744000000006</v>
      </c>
      <c r="I8" s="2">
        <v>54213.972000000009</v>
      </c>
      <c r="J8" s="2">
        <v>10389.252</v>
      </c>
      <c r="K8" s="2">
        <v>78204.791999999987</v>
      </c>
      <c r="L8" s="2">
        <v>59876.567999999999</v>
      </c>
      <c r="M8" s="2">
        <v>520282.63199999998</v>
      </c>
    </row>
    <row r="9" spans="1:13" x14ac:dyDescent="0.35">
      <c r="A9" t="s">
        <v>47</v>
      </c>
      <c r="B9" s="2">
        <v>339280.86</v>
      </c>
      <c r="D9" t="s">
        <v>20</v>
      </c>
      <c r="E9" s="2">
        <v>46804.331999999995</v>
      </c>
      <c r="F9" s="2">
        <v>116141.36400000002</v>
      </c>
      <c r="G9" s="2">
        <v>133130.92800000001</v>
      </c>
      <c r="H9" s="2">
        <v>39816.516000000003</v>
      </c>
      <c r="I9" s="2">
        <v>8104.14</v>
      </c>
      <c r="J9" s="2">
        <v>52534.476000000002</v>
      </c>
      <c r="K9" s="2">
        <v>17788.416000000001</v>
      </c>
      <c r="L9" s="2">
        <v>55300.608000000007</v>
      </c>
      <c r="M9" s="2">
        <v>469620.78000000009</v>
      </c>
    </row>
    <row r="10" spans="1:13" x14ac:dyDescent="0.35">
      <c r="A10" t="s">
        <v>43</v>
      </c>
      <c r="B10" s="2">
        <v>309639.91199999995</v>
      </c>
      <c r="D10" t="s">
        <v>39</v>
      </c>
      <c r="E10" s="2">
        <v>46322.135999999999</v>
      </c>
      <c r="F10" s="2">
        <v>1254.624</v>
      </c>
      <c r="G10" s="2">
        <v>200405.47200000001</v>
      </c>
      <c r="H10" s="2">
        <v>22509.132000000001</v>
      </c>
      <c r="I10" s="2"/>
      <c r="J10" s="2">
        <v>7752.4560000000001</v>
      </c>
      <c r="K10" s="2">
        <v>74387.460000000006</v>
      </c>
      <c r="L10" s="2"/>
      <c r="M10" s="2">
        <v>352631.28</v>
      </c>
    </row>
    <row r="11" spans="1:13" x14ac:dyDescent="0.35">
      <c r="A11" t="s">
        <v>30</v>
      </c>
      <c r="B11" s="2">
        <v>241598.67600000001</v>
      </c>
      <c r="D11" t="s">
        <v>47</v>
      </c>
      <c r="E11" s="2"/>
      <c r="F11" s="2"/>
      <c r="G11" s="2">
        <v>339280.86</v>
      </c>
      <c r="H11" s="2"/>
      <c r="I11" s="2"/>
      <c r="J11" s="2"/>
      <c r="K11" s="2"/>
      <c r="L11" s="2"/>
      <c r="M11" s="2">
        <v>339280.86</v>
      </c>
    </row>
    <row r="12" spans="1:13" x14ac:dyDescent="0.35">
      <c r="A12" t="s">
        <v>42</v>
      </c>
      <c r="B12" s="2">
        <v>216148.128</v>
      </c>
      <c r="D12" t="s">
        <v>43</v>
      </c>
      <c r="E12" s="2"/>
      <c r="F12" s="2">
        <v>43583.724000000002</v>
      </c>
      <c r="G12" s="2">
        <v>136695.264</v>
      </c>
      <c r="H12" s="2">
        <v>84295.536000000007</v>
      </c>
      <c r="I12" s="2"/>
      <c r="J12" s="2">
        <v>19942.284</v>
      </c>
      <c r="K12" s="2">
        <v>25123.103999999999</v>
      </c>
      <c r="L12" s="2"/>
      <c r="M12" s="2">
        <v>309639.91200000001</v>
      </c>
    </row>
    <row r="13" spans="1:13" x14ac:dyDescent="0.35">
      <c r="A13" t="s">
        <v>32</v>
      </c>
      <c r="B13" s="2">
        <v>161655.17999999996</v>
      </c>
      <c r="D13" t="s">
        <v>30</v>
      </c>
      <c r="E13" s="2"/>
      <c r="F13" s="2"/>
      <c r="G13" s="2">
        <v>191331.03599999999</v>
      </c>
      <c r="H13" s="2"/>
      <c r="I13" s="2"/>
      <c r="J13" s="2">
        <v>19637.544000000002</v>
      </c>
      <c r="K13" s="2">
        <v>30630.095999999998</v>
      </c>
      <c r="L13" s="2"/>
      <c r="M13" s="2">
        <v>241598.67599999998</v>
      </c>
    </row>
    <row r="14" spans="1:13" x14ac:dyDescent="0.35">
      <c r="A14" t="s">
        <v>46</v>
      </c>
      <c r="B14" s="2">
        <v>160522.70400000003</v>
      </c>
      <c r="D14" t="s">
        <v>42</v>
      </c>
      <c r="E14" s="2"/>
      <c r="F14" s="2"/>
      <c r="G14" s="2">
        <v>216148.128</v>
      </c>
      <c r="H14" s="2"/>
      <c r="I14" s="2"/>
      <c r="J14" s="2"/>
      <c r="K14" s="2"/>
      <c r="L14" s="2"/>
      <c r="M14" s="2">
        <v>216148.128</v>
      </c>
    </row>
    <row r="15" spans="1:13" x14ac:dyDescent="0.35">
      <c r="A15" t="s">
        <v>51</v>
      </c>
      <c r="B15" s="2">
        <v>136116.01199999999</v>
      </c>
      <c r="D15" t="s">
        <v>32</v>
      </c>
      <c r="E15" s="2"/>
      <c r="F15" s="2"/>
      <c r="G15" s="2">
        <v>161655.17999999996</v>
      </c>
      <c r="H15" s="2"/>
      <c r="I15" s="2"/>
      <c r="J15" s="2"/>
      <c r="K15" s="2"/>
      <c r="L15" s="2"/>
      <c r="M15" s="2">
        <v>161655.17999999996</v>
      </c>
    </row>
    <row r="16" spans="1:13" x14ac:dyDescent="0.35">
      <c r="A16" t="s">
        <v>65</v>
      </c>
      <c r="B16" s="2">
        <v>3499113.4079999998</v>
      </c>
      <c r="D16" t="s">
        <v>46</v>
      </c>
      <c r="E16" s="2"/>
      <c r="F16" s="2"/>
      <c r="G16" s="2">
        <v>160522.70400000003</v>
      </c>
      <c r="H16" s="2"/>
      <c r="I16" s="2"/>
      <c r="J16" s="2"/>
      <c r="K16" s="2"/>
      <c r="L16" s="2"/>
      <c r="M16" s="2">
        <v>160522.70400000003</v>
      </c>
    </row>
    <row r="17" spans="1:13" x14ac:dyDescent="0.35">
      <c r="D17" t="s">
        <v>51</v>
      </c>
      <c r="E17" s="2"/>
      <c r="F17" s="2"/>
      <c r="G17" s="2">
        <v>136116.01199999999</v>
      </c>
      <c r="H17" s="2"/>
      <c r="I17" s="2"/>
      <c r="J17" s="2"/>
      <c r="K17" s="2"/>
      <c r="L17" s="2"/>
      <c r="M17" s="2">
        <v>136116.01199999999</v>
      </c>
    </row>
    <row r="18" spans="1:13" x14ac:dyDescent="0.35">
      <c r="D18" t="s">
        <v>65</v>
      </c>
      <c r="E18" s="2">
        <v>144709.476</v>
      </c>
      <c r="F18" s="2">
        <v>279552.39600000001</v>
      </c>
      <c r="G18" s="2">
        <v>2048041.8960000002</v>
      </c>
      <c r="H18" s="2">
        <v>255583.88400000002</v>
      </c>
      <c r="I18" s="2">
        <v>110049.03600000001</v>
      </c>
      <c r="J18" s="2">
        <v>215005.068</v>
      </c>
      <c r="K18" s="2">
        <v>257179.23599999998</v>
      </c>
      <c r="L18" s="2">
        <v>188992.41600000003</v>
      </c>
      <c r="M18" s="2">
        <v>3499113.4080000008</v>
      </c>
    </row>
    <row r="25" spans="1:13" x14ac:dyDescent="0.35">
      <c r="A25" s="5" t="s">
        <v>13</v>
      </c>
      <c r="B25" t="s">
        <v>81</v>
      </c>
    </row>
    <row r="26" spans="1:13" x14ac:dyDescent="0.35">
      <c r="A26" s="5" t="s">
        <v>14</v>
      </c>
      <c r="B26" t="s">
        <v>82</v>
      </c>
    </row>
    <row r="28" spans="1:13" x14ac:dyDescent="0.35">
      <c r="A28" s="5" t="s">
        <v>2</v>
      </c>
      <c r="B28" s="5" t="s">
        <v>9</v>
      </c>
      <c r="C28" t="s">
        <v>66</v>
      </c>
    </row>
    <row r="29" spans="1:13" x14ac:dyDescent="0.35">
      <c r="A29" t="s">
        <v>15</v>
      </c>
      <c r="B29" t="s">
        <v>49</v>
      </c>
      <c r="C29" s="2">
        <v>86895.323999999993</v>
      </c>
    </row>
    <row r="30" spans="1:13" x14ac:dyDescent="0.35">
      <c r="B30" t="s">
        <v>23</v>
      </c>
      <c r="C30" s="2">
        <v>213661.09199999998</v>
      </c>
    </row>
    <row r="31" spans="1:13" x14ac:dyDescent="0.35">
      <c r="B31" t="s">
        <v>29</v>
      </c>
      <c r="C31" s="2">
        <v>179098.75200000004</v>
      </c>
    </row>
    <row r="32" spans="1:13" x14ac:dyDescent="0.35">
      <c r="B32" t="s">
        <v>19</v>
      </c>
      <c r="C32" s="2">
        <v>97873.212</v>
      </c>
    </row>
    <row r="33" spans="1:3" x14ac:dyDescent="0.35">
      <c r="B33" t="s">
        <v>53</v>
      </c>
      <c r="C33" s="2">
        <v>14088.864000000001</v>
      </c>
    </row>
    <row r="34" spans="1:3" x14ac:dyDescent="0.35">
      <c r="A34" t="s">
        <v>69</v>
      </c>
      <c r="C34" s="2">
        <v>591617.24399999995</v>
      </c>
    </row>
    <row r="35" spans="1:3" x14ac:dyDescent="0.35">
      <c r="A35" t="s">
        <v>26</v>
      </c>
      <c r="B35" t="s">
        <v>49</v>
      </c>
      <c r="C35" s="2">
        <v>113294.592</v>
      </c>
    </row>
    <row r="36" spans="1:3" x14ac:dyDescent="0.35">
      <c r="B36" t="s">
        <v>23</v>
      </c>
      <c r="C36" s="2">
        <v>149141.32799999998</v>
      </c>
    </row>
    <row r="37" spans="1:3" x14ac:dyDescent="0.35">
      <c r="B37" t="s">
        <v>29</v>
      </c>
      <c r="C37" s="2">
        <v>191722.22399999999</v>
      </c>
    </row>
    <row r="38" spans="1:3" x14ac:dyDescent="0.35">
      <c r="B38" t="s">
        <v>19</v>
      </c>
      <c r="C38" s="2">
        <v>66124.487999999998</v>
      </c>
    </row>
    <row r="39" spans="1:3" x14ac:dyDescent="0.35">
      <c r="A39" t="s">
        <v>68</v>
      </c>
      <c r="C39" s="2">
        <v>520282.63199999998</v>
      </c>
    </row>
    <row r="40" spans="1:3" x14ac:dyDescent="0.35">
      <c r="A40" t="s">
        <v>65</v>
      </c>
      <c r="C40" s="2">
        <v>1111899.8759999997</v>
      </c>
    </row>
    <row r="43" spans="1:3" x14ac:dyDescent="0.35">
      <c r="A43" s="5" t="s">
        <v>13</v>
      </c>
      <c r="B43" t="s">
        <v>81</v>
      </c>
    </row>
    <row r="44" spans="1:3" x14ac:dyDescent="0.35">
      <c r="A44" s="5" t="s">
        <v>14</v>
      </c>
      <c r="B44" t="s">
        <v>82</v>
      </c>
    </row>
    <row r="45" spans="1:3" x14ac:dyDescent="0.35">
      <c r="A45" s="5" t="s">
        <v>2</v>
      </c>
      <c r="B45" t="s">
        <v>84</v>
      </c>
    </row>
    <row r="47" spans="1:3" x14ac:dyDescent="0.35">
      <c r="A47" s="5" t="s">
        <v>8</v>
      </c>
      <c r="B47" t="s">
        <v>66</v>
      </c>
    </row>
    <row r="48" spans="1:3" x14ac:dyDescent="0.35">
      <c r="A48" t="s">
        <v>45</v>
      </c>
      <c r="B48" s="2">
        <v>45367.164000000004</v>
      </c>
    </row>
    <row r="49" spans="1:2" x14ac:dyDescent="0.35">
      <c r="A49" t="s">
        <v>35</v>
      </c>
      <c r="B49" s="2">
        <v>121020.01199999999</v>
      </c>
    </row>
    <row r="50" spans="1:2" x14ac:dyDescent="0.35">
      <c r="A50" t="s">
        <v>28</v>
      </c>
      <c r="B50" s="2">
        <v>59812.47600000001</v>
      </c>
    </row>
    <row r="51" spans="1:2" x14ac:dyDescent="0.35">
      <c r="A51" t="s">
        <v>41</v>
      </c>
      <c r="B51" s="2">
        <v>496228.07999999996</v>
      </c>
    </row>
    <row r="52" spans="1:2" x14ac:dyDescent="0.35">
      <c r="A52" t="s">
        <v>18</v>
      </c>
      <c r="B52" s="2">
        <v>389472.14400000003</v>
      </c>
    </row>
    <row r="53" spans="1:2" x14ac:dyDescent="0.35">
      <c r="A53" t="s">
        <v>65</v>
      </c>
      <c r="B53" s="2">
        <v>1111899.8759999999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D18D-D2E1-4CBE-90B9-7543E018A84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75A4-ECED-4800-82A6-F88D59553616}">
  <dimension ref="A2:D17"/>
  <sheetViews>
    <sheetView workbookViewId="0"/>
  </sheetViews>
  <sheetFormatPr baseColWidth="10" defaultRowHeight="14.5" x14ac:dyDescent="0.35"/>
  <cols>
    <col min="1" max="1" width="20.1796875" bestFit="1" customWidth="1"/>
    <col min="2" max="2" width="19.54296875" bestFit="1" customWidth="1"/>
    <col min="3" max="3" width="14.26953125" customWidth="1"/>
    <col min="4" max="4" width="16.1796875" customWidth="1"/>
    <col min="5" max="5" width="20.1796875" bestFit="1" customWidth="1"/>
    <col min="6" max="6" width="15" bestFit="1" customWidth="1"/>
    <col min="7" max="7" width="15.26953125" customWidth="1"/>
    <col min="8" max="8" width="15" customWidth="1"/>
    <col min="9" max="9" width="15" bestFit="1" customWidth="1"/>
    <col min="10" max="10" width="16" customWidth="1"/>
  </cols>
  <sheetData>
    <row r="2" spans="1:4" x14ac:dyDescent="0.35">
      <c r="A2" s="5" t="s">
        <v>13</v>
      </c>
      <c r="B2" t="s">
        <v>81</v>
      </c>
    </row>
    <row r="3" spans="1:4" x14ac:dyDescent="0.35">
      <c r="A3" s="5" t="s">
        <v>14</v>
      </c>
      <c r="B3" t="s">
        <v>82</v>
      </c>
    </row>
    <row r="5" spans="1:4" x14ac:dyDescent="0.35">
      <c r="A5" s="5" t="s">
        <v>66</v>
      </c>
      <c r="B5" s="5" t="s">
        <v>2</v>
      </c>
    </row>
    <row r="6" spans="1:4" x14ac:dyDescent="0.35">
      <c r="A6" s="5" t="s">
        <v>6</v>
      </c>
      <c r="B6" t="s">
        <v>15</v>
      </c>
      <c r="C6" t="s">
        <v>26</v>
      </c>
      <c r="D6" t="s">
        <v>65</v>
      </c>
    </row>
    <row r="7" spans="1:4" x14ac:dyDescent="0.35">
      <c r="A7" t="s">
        <v>21</v>
      </c>
      <c r="B7" s="2">
        <v>43168.067999999999</v>
      </c>
      <c r="C7" s="2">
        <v>76125.84</v>
      </c>
      <c r="D7" s="2">
        <v>119293.908</v>
      </c>
    </row>
    <row r="8" spans="1:4" x14ac:dyDescent="0.35">
      <c r="A8" t="s">
        <v>33</v>
      </c>
      <c r="B8" s="2">
        <v>16487.22</v>
      </c>
      <c r="C8" s="2">
        <v>108466.22400000002</v>
      </c>
      <c r="D8" s="2">
        <v>124953.44400000002</v>
      </c>
    </row>
    <row r="9" spans="1:4" x14ac:dyDescent="0.35">
      <c r="A9" t="s">
        <v>37</v>
      </c>
      <c r="B9" s="2"/>
      <c r="C9" s="2">
        <v>5843.7120000000004</v>
      </c>
      <c r="D9" s="2">
        <v>5843.7120000000004</v>
      </c>
    </row>
    <row r="10" spans="1:4" x14ac:dyDescent="0.35">
      <c r="A10" t="s">
        <v>16</v>
      </c>
      <c r="B10" s="2">
        <v>27012.576000000001</v>
      </c>
      <c r="C10" s="2">
        <v>90539.927999999985</v>
      </c>
      <c r="D10" s="2">
        <v>117552.50399999999</v>
      </c>
    </row>
    <row r="11" spans="1:4" x14ac:dyDescent="0.35">
      <c r="A11" t="s">
        <v>31</v>
      </c>
      <c r="B11" s="2">
        <v>129664.728</v>
      </c>
      <c r="C11" s="2">
        <v>17560.62</v>
      </c>
      <c r="D11" s="2">
        <v>147225.348</v>
      </c>
    </row>
    <row r="12" spans="1:4" x14ac:dyDescent="0.35">
      <c r="A12" t="s">
        <v>24</v>
      </c>
      <c r="B12" s="2">
        <v>81533.051999999996</v>
      </c>
      <c r="C12" s="2">
        <v>43128.888000000006</v>
      </c>
      <c r="D12" s="2">
        <v>124661.94</v>
      </c>
    </row>
    <row r="13" spans="1:4" x14ac:dyDescent="0.35">
      <c r="A13" t="s">
        <v>40</v>
      </c>
      <c r="B13" s="2">
        <v>53292.467999999993</v>
      </c>
      <c r="C13" s="2">
        <v>33585.707999999999</v>
      </c>
      <c r="D13" s="2">
        <v>86878.175999999992</v>
      </c>
    </row>
    <row r="14" spans="1:4" x14ac:dyDescent="0.35">
      <c r="A14" t="s">
        <v>27</v>
      </c>
      <c r="B14" s="2">
        <v>133444.236</v>
      </c>
      <c r="C14" s="2">
        <v>79752.804000000004</v>
      </c>
      <c r="D14" s="2">
        <v>213197.04</v>
      </c>
    </row>
    <row r="15" spans="1:4" x14ac:dyDescent="0.35">
      <c r="A15" t="s">
        <v>34</v>
      </c>
      <c r="B15" s="2">
        <v>33133.800000000003</v>
      </c>
      <c r="C15" s="2">
        <v>65278.907999999996</v>
      </c>
      <c r="D15" s="2">
        <v>98412.707999999999</v>
      </c>
    </row>
    <row r="16" spans="1:4" x14ac:dyDescent="0.35">
      <c r="A16" t="s">
        <v>36</v>
      </c>
      <c r="B16" s="2">
        <v>73881.096000000005</v>
      </c>
      <c r="C16" s="2"/>
      <c r="D16" s="2">
        <v>73881.096000000005</v>
      </c>
    </row>
    <row r="17" spans="1:4" x14ac:dyDescent="0.35">
      <c r="A17" t="s">
        <v>65</v>
      </c>
      <c r="B17" s="2">
        <v>591617.24399999995</v>
      </c>
      <c r="C17" s="2">
        <v>520282.63200000004</v>
      </c>
      <c r="D17" s="2">
        <v>1111899.8759999999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2CE2-FBB7-42B1-84BA-2209B6EAB34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70E5-88F6-4EAC-97B2-56B3BB4F22D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31DB-AF6B-49A6-8DD6-3FBBF634127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309F-FCD5-461A-A9A7-3E7364EAEAE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89E3-ACA2-4F27-8E82-E5CB75BA5BDC}">
  <dimension ref="A1:V955"/>
  <sheetViews>
    <sheetView workbookViewId="0">
      <selection activeCell="J13" sqref="J13"/>
    </sheetView>
  </sheetViews>
  <sheetFormatPr baseColWidth="10" defaultColWidth="11.453125" defaultRowHeight="14.5" x14ac:dyDescent="0.35"/>
  <cols>
    <col min="1" max="1" width="18.54296875" bestFit="1" customWidth="1"/>
    <col min="2" max="2" width="12.453125" customWidth="1"/>
    <col min="3" max="3" width="15.1796875" customWidth="1"/>
    <col min="4" max="4" width="14.453125" bestFit="1" customWidth="1"/>
    <col min="5" max="5" width="12.453125" bestFit="1" customWidth="1"/>
    <col min="6" max="6" width="13.26953125" customWidth="1"/>
    <col min="7" max="7" width="12.7265625" customWidth="1"/>
    <col min="8" max="8" width="15.81640625" bestFit="1" customWidth="1"/>
    <col min="9" max="9" width="13.7265625" customWidth="1"/>
    <col min="10" max="10" width="11" customWidth="1"/>
    <col min="11" max="11" width="7.81640625" customWidth="1"/>
    <col min="12" max="12" width="16.1796875" bestFit="1" customWidth="1"/>
    <col min="13" max="13" width="15.54296875" bestFit="1" customWidth="1"/>
    <col min="14" max="14" width="14" bestFit="1" customWidth="1"/>
    <col min="15" max="15" width="15.26953125" customWidth="1"/>
    <col min="16" max="16" width="13.269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61</v>
      </c>
      <c r="S1" t="s">
        <v>57</v>
      </c>
      <c r="T1" t="s">
        <v>58</v>
      </c>
      <c r="U1" t="s">
        <v>64</v>
      </c>
      <c r="V1" t="s">
        <v>59</v>
      </c>
    </row>
    <row r="2" spans="1:22" x14ac:dyDescent="0.35">
      <c r="A2" s="1">
        <v>44071</v>
      </c>
      <c r="B2">
        <v>5040</v>
      </c>
      <c r="C2" t="s">
        <v>15</v>
      </c>
      <c r="D2">
        <v>123</v>
      </c>
      <c r="E2">
        <v>87.516000000000005</v>
      </c>
      <c r="F2">
        <v>0</v>
      </c>
      <c r="G2" t="s">
        <v>16</v>
      </c>
      <c r="H2" t="s">
        <v>17</v>
      </c>
      <c r="I2" t="s">
        <v>18</v>
      </c>
      <c r="J2" t="s">
        <v>19</v>
      </c>
      <c r="K2">
        <v>7</v>
      </c>
      <c r="L2">
        <v>1</v>
      </c>
      <c r="M2" s="2">
        <f t="shared" ref="M2:M65" si="0">D2*E2</f>
        <v>10764.468000000001</v>
      </c>
      <c r="N2" s="2" t="str">
        <f>IF(Tabla1[[#This Row],[Aprobación_Veterinaria]]=1,"APROBADO","NO APROBADO")</f>
        <v>NO APROBADO</v>
      </c>
      <c r="O2" t="str">
        <f>IF(Tabla1[[#This Row],[Repite compra?]]=1,"REPITE","NO REPITE")</f>
        <v>REPITE</v>
      </c>
      <c r="P2" t="str">
        <f>IF(Tabla1[[#This Row],[rating_segun encuesta a Consumidor]]&lt;5,"Regular",IF(Tabla1[[#This Row],[rating_segun encuesta a Consumidor]]&gt;8,"Excelente","Bueno"))</f>
        <v>Bueno</v>
      </c>
      <c r="S2" t="s">
        <v>56</v>
      </c>
      <c r="T2" t="s">
        <v>62</v>
      </c>
      <c r="U2" t="s">
        <v>63</v>
      </c>
      <c r="V2" t="s">
        <v>60</v>
      </c>
    </row>
    <row r="3" spans="1:22" x14ac:dyDescent="0.35">
      <c r="A3" s="1">
        <v>43998</v>
      </c>
      <c r="B3">
        <v>4567</v>
      </c>
      <c r="C3" t="s">
        <v>20</v>
      </c>
      <c r="D3">
        <v>61</v>
      </c>
      <c r="E3">
        <v>111.648</v>
      </c>
      <c r="F3">
        <v>1</v>
      </c>
      <c r="G3" t="s">
        <v>21</v>
      </c>
      <c r="H3" t="s">
        <v>22</v>
      </c>
      <c r="I3" t="s">
        <v>18</v>
      </c>
      <c r="J3" t="s">
        <v>23</v>
      </c>
      <c r="K3">
        <v>10</v>
      </c>
      <c r="L3">
        <v>0</v>
      </c>
      <c r="M3" s="2">
        <f t="shared" si="0"/>
        <v>6810.5279999999993</v>
      </c>
      <c r="N3" s="2" t="str">
        <f>IF(Tabla1[[#This Row],[Aprobación_Veterinaria]]=1,"APROBADO","NO APROBADO")</f>
        <v>APROBADO</v>
      </c>
      <c r="O3" t="str">
        <f>IF(Tabla1[[#This Row],[Repite compra?]]=1,"REPITE","NO REPITE")</f>
        <v>NO REPITE</v>
      </c>
      <c r="P3" t="str">
        <f>IF(Tabla1[[#This Row],[rating_segun encuesta a Consumidor]]&lt;5,"Regular",IF(Tabla1[[#This Row],[rating_segun encuesta a Consumidor]]&gt;8,"Excelente","Bueno"))</f>
        <v>Excelente</v>
      </c>
      <c r="S3">
        <v>5</v>
      </c>
      <c r="U3">
        <v>6</v>
      </c>
      <c r="V3">
        <v>8</v>
      </c>
    </row>
    <row r="4" spans="1:22" x14ac:dyDescent="0.35">
      <c r="A4" s="1">
        <v>43925</v>
      </c>
      <c r="B4">
        <v>4237</v>
      </c>
      <c r="C4" t="s">
        <v>20</v>
      </c>
      <c r="D4">
        <v>218</v>
      </c>
      <c r="E4">
        <v>98.16</v>
      </c>
      <c r="F4">
        <v>0</v>
      </c>
      <c r="G4" t="s">
        <v>24</v>
      </c>
      <c r="H4" t="s">
        <v>22</v>
      </c>
      <c r="I4" t="s">
        <v>18</v>
      </c>
      <c r="J4" t="s">
        <v>25</v>
      </c>
      <c r="K4">
        <v>6</v>
      </c>
      <c r="L4">
        <v>0</v>
      </c>
      <c r="M4" s="2">
        <f t="shared" si="0"/>
        <v>21398.880000000001</v>
      </c>
      <c r="N4" s="2" t="str">
        <f>IF(Tabla1[[#This Row],[Aprobación_Veterinaria]]=1,"APROBADO","NO APROBADO")</f>
        <v>NO APROBADO</v>
      </c>
      <c r="O4" t="str">
        <f>IF(Tabla1[[#This Row],[Repite compra?]]=1,"REPITE","NO REPITE")</f>
        <v>NO REPITE</v>
      </c>
      <c r="P4" t="str">
        <f>IF(Tabla1[[#This Row],[rating_segun encuesta a Consumidor]]&lt;5,"Regular",IF(Tabla1[[#This Row],[rating_segun encuesta a Consumidor]]&gt;8,"Excelente","Bueno"))</f>
        <v>Bueno</v>
      </c>
    </row>
    <row r="5" spans="1:22" x14ac:dyDescent="0.35">
      <c r="A5" s="1">
        <v>43898</v>
      </c>
      <c r="B5">
        <v>4364</v>
      </c>
      <c r="C5" t="s">
        <v>26</v>
      </c>
      <c r="D5">
        <v>69</v>
      </c>
      <c r="E5">
        <v>222.708</v>
      </c>
      <c r="F5">
        <v>1</v>
      </c>
      <c r="G5" t="s">
        <v>27</v>
      </c>
      <c r="H5" t="s">
        <v>22</v>
      </c>
      <c r="I5" t="s">
        <v>28</v>
      </c>
      <c r="J5" t="s">
        <v>29</v>
      </c>
      <c r="K5">
        <v>1</v>
      </c>
      <c r="L5">
        <v>1</v>
      </c>
      <c r="M5" s="2">
        <f t="shared" si="0"/>
        <v>15366.852000000001</v>
      </c>
      <c r="N5" s="2" t="str">
        <f>IF(Tabla1[[#This Row],[Aprobación_Veterinaria]]=1,"APROBADO","NO APROBADO")</f>
        <v>APROBADO</v>
      </c>
      <c r="O5" t="str">
        <f>IF(Tabla1[[#This Row],[Repite compra?]]=1,"REPITE","NO REPITE")</f>
        <v>REPITE</v>
      </c>
      <c r="P5" t="str">
        <f>IF(Tabla1[[#This Row],[rating_segun encuesta a Consumidor]]&lt;5,"Regular",IF(Tabla1[[#This Row],[rating_segun encuesta a Consumidor]]&gt;8,"Excelente","Bueno"))</f>
        <v>Regular</v>
      </c>
      <c r="S5" s="3"/>
      <c r="T5" s="4"/>
      <c r="U5" s="4"/>
      <c r="V5" s="4"/>
    </row>
    <row r="6" spans="1:22" x14ac:dyDescent="0.35">
      <c r="A6" s="1">
        <v>43932</v>
      </c>
      <c r="B6">
        <v>4184</v>
      </c>
      <c r="C6" t="s">
        <v>30</v>
      </c>
      <c r="D6">
        <v>138</v>
      </c>
      <c r="E6">
        <v>123.396</v>
      </c>
      <c r="F6">
        <v>1</v>
      </c>
      <c r="G6" t="s">
        <v>31</v>
      </c>
      <c r="H6" t="s">
        <v>22</v>
      </c>
      <c r="I6" t="s">
        <v>28</v>
      </c>
      <c r="J6" t="s">
        <v>29</v>
      </c>
      <c r="K6">
        <v>10</v>
      </c>
      <c r="L6">
        <v>0</v>
      </c>
      <c r="M6" s="2">
        <f t="shared" si="0"/>
        <v>17028.648000000001</v>
      </c>
      <c r="N6" s="2" t="str">
        <f>IF(Tabla1[[#This Row],[Aprobación_Veterinaria]]=1,"APROBADO","NO APROBADO")</f>
        <v>APROBADO</v>
      </c>
      <c r="O6" t="str">
        <f>IF(Tabla1[[#This Row],[Repite compra?]]=1,"REPITE","NO REPITE")</f>
        <v>NO REPITE</v>
      </c>
      <c r="P6" t="str">
        <f>IF(Tabla1[[#This Row],[rating_segun encuesta a Consumidor]]&lt;5,"Regular",IF(Tabla1[[#This Row],[rating_segun encuesta a Consumidor]]&gt;8,"Excelente","Bueno"))</f>
        <v>Excelente</v>
      </c>
    </row>
    <row r="7" spans="1:22" x14ac:dyDescent="0.35">
      <c r="A7" s="1">
        <v>43979</v>
      </c>
      <c r="B7">
        <v>4609</v>
      </c>
      <c r="C7" t="s">
        <v>32</v>
      </c>
      <c r="D7">
        <v>183</v>
      </c>
      <c r="E7">
        <v>47.628</v>
      </c>
      <c r="F7">
        <v>1</v>
      </c>
      <c r="G7" t="s">
        <v>33</v>
      </c>
      <c r="H7" t="s">
        <v>22</v>
      </c>
      <c r="I7" t="s">
        <v>28</v>
      </c>
      <c r="J7" t="s">
        <v>23</v>
      </c>
      <c r="K7">
        <v>10</v>
      </c>
      <c r="L7">
        <v>0</v>
      </c>
      <c r="M7" s="2">
        <f t="shared" si="0"/>
        <v>8715.9240000000009</v>
      </c>
      <c r="N7" s="2" t="str">
        <f>IF(Tabla1[[#This Row],[Aprobación_Veterinaria]]=1,"APROBADO","NO APROBADO")</f>
        <v>APROBADO</v>
      </c>
      <c r="O7" t="str">
        <f>IF(Tabla1[[#This Row],[Repite compra?]]=1,"REPITE","NO REPITE")</f>
        <v>NO REPITE</v>
      </c>
      <c r="P7" t="str">
        <f>IF(Tabla1[[#This Row],[rating_segun encuesta a Consumidor]]&lt;5,"Regular",IF(Tabla1[[#This Row],[rating_segun encuesta a Consumidor]]&gt;8,"Excelente","Bueno"))</f>
        <v>Excelente</v>
      </c>
      <c r="T7" s="4"/>
      <c r="U7" s="4"/>
      <c r="V7" s="3"/>
    </row>
    <row r="8" spans="1:22" x14ac:dyDescent="0.35">
      <c r="A8" s="1">
        <v>44065</v>
      </c>
      <c r="B8">
        <v>4380</v>
      </c>
      <c r="C8" t="s">
        <v>20</v>
      </c>
      <c r="D8">
        <v>79</v>
      </c>
      <c r="E8">
        <v>162.22800000000001</v>
      </c>
      <c r="F8">
        <v>1</v>
      </c>
      <c r="G8" t="s">
        <v>34</v>
      </c>
      <c r="H8" t="s">
        <v>22</v>
      </c>
      <c r="I8" t="s">
        <v>35</v>
      </c>
      <c r="J8" t="s">
        <v>29</v>
      </c>
      <c r="K8">
        <v>8</v>
      </c>
      <c r="L8">
        <v>0</v>
      </c>
      <c r="M8" s="2">
        <f t="shared" si="0"/>
        <v>12816.012000000001</v>
      </c>
      <c r="N8" s="2" t="str">
        <f>IF(Tabla1[[#This Row],[Aprobación_Veterinaria]]=1,"APROBADO","NO APROBADO")</f>
        <v>APROBADO</v>
      </c>
      <c r="O8" t="str">
        <f>IF(Tabla1[[#This Row],[Repite compra?]]=1,"REPITE","NO REPITE")</f>
        <v>NO REPITE</v>
      </c>
      <c r="P8" t="str">
        <f>IF(Tabla1[[#This Row],[rating_segun encuesta a Consumidor]]&lt;5,"Regular",IF(Tabla1[[#This Row],[rating_segun encuesta a Consumidor]]&gt;8,"Excelente","Bueno"))</f>
        <v>Bueno</v>
      </c>
    </row>
    <row r="9" spans="1:22" x14ac:dyDescent="0.35">
      <c r="A9" s="1">
        <v>44035</v>
      </c>
      <c r="B9">
        <v>4389</v>
      </c>
      <c r="C9" t="s">
        <v>32</v>
      </c>
      <c r="D9">
        <v>205</v>
      </c>
      <c r="E9">
        <v>156.93600000000001</v>
      </c>
      <c r="F9">
        <v>0</v>
      </c>
      <c r="G9" t="s">
        <v>36</v>
      </c>
      <c r="H9" t="s">
        <v>22</v>
      </c>
      <c r="I9" t="s">
        <v>28</v>
      </c>
      <c r="J9" t="s">
        <v>23</v>
      </c>
      <c r="K9">
        <v>9</v>
      </c>
      <c r="L9">
        <v>0</v>
      </c>
      <c r="M9" s="2">
        <f t="shared" si="0"/>
        <v>32171.88</v>
      </c>
      <c r="N9" s="2" t="str">
        <f>IF(Tabla1[[#This Row],[Aprobación_Veterinaria]]=1,"APROBADO","NO APROBADO")</f>
        <v>NO APROBADO</v>
      </c>
      <c r="O9" t="str">
        <f>IF(Tabla1[[#This Row],[Repite compra?]]=1,"REPITE","NO REPITE")</f>
        <v>NO REPITE</v>
      </c>
      <c r="P9" t="str">
        <f>IF(Tabla1[[#This Row],[rating_segun encuesta a Consumidor]]&lt;5,"Regular",IF(Tabla1[[#This Row],[rating_segun encuesta a Consumidor]]&gt;8,"Excelente","Bueno"))</f>
        <v>Excelente</v>
      </c>
      <c r="T9" s="3"/>
      <c r="U9" s="4"/>
    </row>
    <row r="10" spans="1:22" x14ac:dyDescent="0.35">
      <c r="A10" s="1">
        <v>44160</v>
      </c>
      <c r="B10">
        <v>4697</v>
      </c>
      <c r="C10" t="s">
        <v>30</v>
      </c>
      <c r="D10">
        <v>116</v>
      </c>
      <c r="E10">
        <v>164.41200000000001</v>
      </c>
      <c r="F10">
        <v>0</v>
      </c>
      <c r="G10" t="s">
        <v>37</v>
      </c>
      <c r="H10" t="s">
        <v>38</v>
      </c>
      <c r="I10" t="s">
        <v>18</v>
      </c>
      <c r="J10" t="s">
        <v>23</v>
      </c>
      <c r="K10">
        <v>10</v>
      </c>
      <c r="L10">
        <v>0</v>
      </c>
      <c r="M10" s="2">
        <f t="shared" si="0"/>
        <v>19071.792000000001</v>
      </c>
      <c r="N10" s="2" t="str">
        <f>IF(Tabla1[[#This Row],[Aprobación_Veterinaria]]=1,"APROBADO","NO APROBADO")</f>
        <v>NO APROBADO</v>
      </c>
      <c r="O10" t="str">
        <f>IF(Tabla1[[#This Row],[Repite compra?]]=1,"REPITE","NO REPITE")</f>
        <v>NO REPITE</v>
      </c>
      <c r="P10" t="str">
        <f>IF(Tabla1[[#This Row],[rating_segun encuesta a Consumidor]]&lt;5,"Regular",IF(Tabla1[[#This Row],[rating_segun encuesta a Consumidor]]&gt;8,"Excelente","Bueno"))</f>
        <v>Excelente</v>
      </c>
    </row>
    <row r="11" spans="1:22" x14ac:dyDescent="0.35">
      <c r="A11" s="1">
        <v>43839</v>
      </c>
      <c r="B11">
        <v>4238</v>
      </c>
      <c r="C11" t="s">
        <v>39</v>
      </c>
      <c r="D11">
        <v>141</v>
      </c>
      <c r="E11">
        <v>228.98400000000001</v>
      </c>
      <c r="F11">
        <v>1</v>
      </c>
      <c r="G11" t="s">
        <v>40</v>
      </c>
      <c r="H11" t="s">
        <v>22</v>
      </c>
      <c r="I11" t="s">
        <v>41</v>
      </c>
      <c r="J11" t="s">
        <v>29</v>
      </c>
      <c r="K11">
        <v>10</v>
      </c>
      <c r="L11">
        <v>1</v>
      </c>
      <c r="M11" s="2">
        <f t="shared" si="0"/>
        <v>32286.744000000002</v>
      </c>
      <c r="N11" s="2" t="str">
        <f>IF(Tabla1[[#This Row],[Aprobación_Veterinaria]]=1,"APROBADO","NO APROBADO")</f>
        <v>APROBADO</v>
      </c>
      <c r="O11" t="str">
        <f>IF(Tabla1[[#This Row],[Repite compra?]]=1,"REPITE","NO REPITE")</f>
        <v>REPITE</v>
      </c>
      <c r="P11" t="str">
        <f>IF(Tabla1[[#This Row],[rating_segun encuesta a Consumidor]]&lt;5,"Regular",IF(Tabla1[[#This Row],[rating_segun encuesta a Consumidor]]&gt;8,"Excelente","Bueno"))</f>
        <v>Excelente</v>
      </c>
    </row>
    <row r="12" spans="1:22" x14ac:dyDescent="0.35">
      <c r="A12" s="1">
        <v>43998</v>
      </c>
      <c r="B12">
        <v>4650</v>
      </c>
      <c r="C12" t="s">
        <v>26</v>
      </c>
      <c r="D12">
        <v>185</v>
      </c>
      <c r="E12">
        <v>173.74799999999999</v>
      </c>
      <c r="F12">
        <v>1</v>
      </c>
      <c r="G12" t="s">
        <v>16</v>
      </c>
      <c r="H12" t="s">
        <v>22</v>
      </c>
      <c r="I12" t="s">
        <v>35</v>
      </c>
      <c r="J12" t="s">
        <v>29</v>
      </c>
      <c r="K12">
        <v>10</v>
      </c>
      <c r="L12">
        <v>1</v>
      </c>
      <c r="M12" s="2">
        <f t="shared" si="0"/>
        <v>32143.379999999997</v>
      </c>
      <c r="N12" s="2" t="str">
        <f>IF(Tabla1[[#This Row],[Aprobación_Veterinaria]]=1,"APROBADO","NO APROBADO")</f>
        <v>APROBADO</v>
      </c>
      <c r="O12" t="str">
        <f>IF(Tabla1[[#This Row],[Repite compra?]]=1,"REPITE","NO REPITE")</f>
        <v>REPITE</v>
      </c>
      <c r="P12" t="str">
        <f>IF(Tabla1[[#This Row],[rating_segun encuesta a Consumidor]]&lt;5,"Regular",IF(Tabla1[[#This Row],[rating_segun encuesta a Consumidor]]&gt;8,"Excelente","Bueno"))</f>
        <v>Excelente</v>
      </c>
    </row>
    <row r="13" spans="1:22" x14ac:dyDescent="0.35">
      <c r="A13" s="1">
        <v>44188</v>
      </c>
      <c r="B13">
        <v>4360</v>
      </c>
      <c r="C13" t="s">
        <v>30</v>
      </c>
      <c r="D13">
        <v>50</v>
      </c>
      <c r="E13">
        <v>117.336</v>
      </c>
      <c r="F13">
        <v>1</v>
      </c>
      <c r="G13" t="s">
        <v>21</v>
      </c>
      <c r="H13" t="s">
        <v>22</v>
      </c>
      <c r="I13" t="s">
        <v>35</v>
      </c>
      <c r="J13" t="s">
        <v>29</v>
      </c>
      <c r="K13">
        <v>10</v>
      </c>
      <c r="L13">
        <v>0</v>
      </c>
      <c r="M13" s="2">
        <f t="shared" si="0"/>
        <v>5866.8</v>
      </c>
      <c r="N13" s="2" t="str">
        <f>IF(Tabla1[[#This Row],[Aprobación_Veterinaria]]=1,"APROBADO","NO APROBADO")</f>
        <v>APROBADO</v>
      </c>
      <c r="O13" t="str">
        <f>IF(Tabla1[[#This Row],[Repite compra?]]=1,"REPITE","NO REPITE")</f>
        <v>NO REPITE</v>
      </c>
      <c r="P13" t="str">
        <f>IF(Tabla1[[#This Row],[rating_segun encuesta a Consumidor]]&lt;5,"Regular",IF(Tabla1[[#This Row],[rating_segun encuesta a Consumidor]]&gt;8,"Excelente","Bueno"))</f>
        <v>Excelente</v>
      </c>
    </row>
    <row r="14" spans="1:22" x14ac:dyDescent="0.35">
      <c r="A14" s="1">
        <v>43852</v>
      </c>
      <c r="B14">
        <v>4588</v>
      </c>
      <c r="C14" t="s">
        <v>42</v>
      </c>
      <c r="D14">
        <v>93</v>
      </c>
      <c r="E14">
        <v>195.20400000000001</v>
      </c>
      <c r="F14">
        <v>0</v>
      </c>
      <c r="G14" t="s">
        <v>24</v>
      </c>
      <c r="H14" t="s">
        <v>22</v>
      </c>
      <c r="I14" t="s">
        <v>41</v>
      </c>
      <c r="J14" t="s">
        <v>29</v>
      </c>
      <c r="K14">
        <v>10</v>
      </c>
      <c r="L14">
        <v>1</v>
      </c>
      <c r="M14" s="2">
        <f t="shared" si="0"/>
        <v>18153.972000000002</v>
      </c>
      <c r="N14" s="2" t="str">
        <f>IF(Tabla1[[#This Row],[Aprobación_Veterinaria]]=1,"APROBADO","NO APROBADO")</f>
        <v>NO APROBADO</v>
      </c>
      <c r="O14" t="str">
        <f>IF(Tabla1[[#This Row],[Repite compra?]]=1,"REPITE","NO REPITE")</f>
        <v>REPITE</v>
      </c>
      <c r="P14" t="str">
        <f>IF(Tabla1[[#This Row],[rating_segun encuesta a Consumidor]]&lt;5,"Regular",IF(Tabla1[[#This Row],[rating_segun encuesta a Consumidor]]&gt;8,"Excelente","Bueno"))</f>
        <v>Excelente</v>
      </c>
    </row>
    <row r="15" spans="1:22" x14ac:dyDescent="0.35">
      <c r="A15" s="1">
        <v>44148</v>
      </c>
      <c r="B15">
        <v>4319</v>
      </c>
      <c r="C15" t="s">
        <v>43</v>
      </c>
      <c r="D15">
        <v>192</v>
      </c>
      <c r="E15">
        <v>55.488</v>
      </c>
      <c r="F15">
        <v>0</v>
      </c>
      <c r="G15" t="s">
        <v>27</v>
      </c>
      <c r="H15" t="s">
        <v>22</v>
      </c>
      <c r="I15" t="s">
        <v>28</v>
      </c>
      <c r="J15" t="s">
        <v>23</v>
      </c>
      <c r="K15">
        <v>3</v>
      </c>
      <c r="L15">
        <v>0</v>
      </c>
      <c r="M15" s="2">
        <f t="shared" si="0"/>
        <v>10653.696</v>
      </c>
      <c r="N15" s="2" t="str">
        <f>IF(Tabla1[[#This Row],[Aprobación_Veterinaria]]=1,"APROBADO","NO APROBADO")</f>
        <v>NO APROBADO</v>
      </c>
      <c r="O15" t="str">
        <f>IF(Tabla1[[#This Row],[Repite compra?]]=1,"REPITE","NO REPITE")</f>
        <v>NO REPITE</v>
      </c>
      <c r="P15" t="str">
        <f>IF(Tabla1[[#This Row],[rating_segun encuesta a Consumidor]]&lt;5,"Regular",IF(Tabla1[[#This Row],[rating_segun encuesta a Consumidor]]&gt;8,"Excelente","Bueno"))</f>
        <v>Regular</v>
      </c>
    </row>
    <row r="16" spans="1:22" x14ac:dyDescent="0.35">
      <c r="A16" s="1">
        <v>44032</v>
      </c>
      <c r="B16">
        <v>4613</v>
      </c>
      <c r="C16" t="s">
        <v>30</v>
      </c>
      <c r="D16">
        <v>186</v>
      </c>
      <c r="E16">
        <v>158.4</v>
      </c>
      <c r="F16">
        <v>1</v>
      </c>
      <c r="G16" t="s">
        <v>31</v>
      </c>
      <c r="H16" t="s">
        <v>22</v>
      </c>
      <c r="I16" t="s">
        <v>41</v>
      </c>
      <c r="J16" t="s">
        <v>23</v>
      </c>
      <c r="K16">
        <v>10</v>
      </c>
      <c r="L16">
        <v>1</v>
      </c>
      <c r="M16" s="2">
        <f t="shared" si="0"/>
        <v>29462.400000000001</v>
      </c>
      <c r="N16" s="2" t="str">
        <f>IF(Tabla1[[#This Row],[Aprobación_Veterinaria]]=1,"APROBADO","NO APROBADO")</f>
        <v>APROBADO</v>
      </c>
      <c r="O16" t="str">
        <f>IF(Tabla1[[#This Row],[Repite compra?]]=1,"REPITE","NO REPITE")</f>
        <v>REPITE</v>
      </c>
      <c r="P16" t="str">
        <f>IF(Tabla1[[#This Row],[rating_segun encuesta a Consumidor]]&lt;5,"Regular",IF(Tabla1[[#This Row],[rating_segun encuesta a Consumidor]]&gt;8,"Excelente","Bueno"))</f>
        <v>Excelente</v>
      </c>
    </row>
    <row r="17" spans="1:16" x14ac:dyDescent="0.35">
      <c r="A17" s="1">
        <v>44000</v>
      </c>
      <c r="B17">
        <v>4890</v>
      </c>
      <c r="C17" t="s">
        <v>15</v>
      </c>
      <c r="D17">
        <v>182</v>
      </c>
      <c r="E17">
        <v>159.756</v>
      </c>
      <c r="F17">
        <v>1</v>
      </c>
      <c r="G17" t="s">
        <v>33</v>
      </c>
      <c r="H17" t="s">
        <v>44</v>
      </c>
      <c r="I17" t="s">
        <v>18</v>
      </c>
      <c r="J17" t="s">
        <v>29</v>
      </c>
      <c r="K17">
        <v>6</v>
      </c>
      <c r="L17">
        <v>0</v>
      </c>
      <c r="M17" s="2">
        <f t="shared" si="0"/>
        <v>29075.592000000001</v>
      </c>
      <c r="N17" s="2" t="str">
        <f>IF(Tabla1[[#This Row],[Aprobación_Veterinaria]]=1,"APROBADO","NO APROBADO")</f>
        <v>APROBADO</v>
      </c>
      <c r="O17" t="str">
        <f>IF(Tabla1[[#This Row],[Repite compra?]]=1,"REPITE","NO REPITE")</f>
        <v>NO REPITE</v>
      </c>
      <c r="P17" t="str">
        <f>IF(Tabla1[[#This Row],[rating_segun encuesta a Consumidor]]&lt;5,"Regular",IF(Tabla1[[#This Row],[rating_segun encuesta a Consumidor]]&gt;8,"Excelente","Bueno"))</f>
        <v>Bueno</v>
      </c>
    </row>
    <row r="18" spans="1:16" x14ac:dyDescent="0.35">
      <c r="A18" s="1">
        <v>43933</v>
      </c>
      <c r="B18">
        <v>4777</v>
      </c>
      <c r="C18" t="s">
        <v>26</v>
      </c>
      <c r="D18">
        <v>229</v>
      </c>
      <c r="E18">
        <v>41.747999999999998</v>
      </c>
      <c r="F18">
        <v>0</v>
      </c>
      <c r="G18" t="s">
        <v>34</v>
      </c>
      <c r="H18" t="s">
        <v>38</v>
      </c>
      <c r="I18" t="s">
        <v>41</v>
      </c>
      <c r="J18" t="s">
        <v>23</v>
      </c>
      <c r="K18">
        <v>7</v>
      </c>
      <c r="L18">
        <v>0</v>
      </c>
      <c r="M18" s="2">
        <f t="shared" si="0"/>
        <v>9560.2919999999995</v>
      </c>
      <c r="N18" s="2" t="str">
        <f>IF(Tabla1[[#This Row],[Aprobación_Veterinaria]]=1,"APROBADO","NO APROBADO")</f>
        <v>NO APROBADO</v>
      </c>
      <c r="O18" t="str">
        <f>IF(Tabla1[[#This Row],[Repite compra?]]=1,"REPITE","NO REPITE")</f>
        <v>NO REPITE</v>
      </c>
      <c r="P18" t="str">
        <f>IF(Tabla1[[#This Row],[rating_segun encuesta a Consumidor]]&lt;5,"Regular",IF(Tabla1[[#This Row],[rating_segun encuesta a Consumidor]]&gt;8,"Excelente","Bueno"))</f>
        <v>Bueno</v>
      </c>
    </row>
    <row r="19" spans="1:16" x14ac:dyDescent="0.35">
      <c r="A19" s="1">
        <v>43840</v>
      </c>
      <c r="B19">
        <v>4541</v>
      </c>
      <c r="C19" t="s">
        <v>15</v>
      </c>
      <c r="D19">
        <v>185</v>
      </c>
      <c r="E19">
        <v>101.02800000000001</v>
      </c>
      <c r="F19">
        <v>1</v>
      </c>
      <c r="G19" t="s">
        <v>36</v>
      </c>
      <c r="H19" t="s">
        <v>22</v>
      </c>
      <c r="I19" t="s">
        <v>45</v>
      </c>
      <c r="J19" t="s">
        <v>23</v>
      </c>
      <c r="K19">
        <v>10</v>
      </c>
      <c r="L19">
        <v>0</v>
      </c>
      <c r="M19" s="2">
        <f t="shared" si="0"/>
        <v>18690.18</v>
      </c>
      <c r="N19" s="2" t="str">
        <f>IF(Tabla1[[#This Row],[Aprobación_Veterinaria]]=1,"APROBADO","NO APROBADO")</f>
        <v>APROBADO</v>
      </c>
      <c r="O19" t="str">
        <f>IF(Tabla1[[#This Row],[Repite compra?]]=1,"REPITE","NO REPITE")</f>
        <v>NO REPITE</v>
      </c>
      <c r="P19" t="str">
        <f>IF(Tabla1[[#This Row],[rating_segun encuesta a Consumidor]]&lt;5,"Regular",IF(Tabla1[[#This Row],[rating_segun encuesta a Consumidor]]&gt;8,"Excelente","Bueno"))</f>
        <v>Excelente</v>
      </c>
    </row>
    <row r="20" spans="1:16" x14ac:dyDescent="0.35">
      <c r="A20" s="1">
        <v>43944</v>
      </c>
      <c r="B20">
        <v>4737</v>
      </c>
      <c r="C20" t="s">
        <v>43</v>
      </c>
      <c r="D20">
        <v>129</v>
      </c>
      <c r="E20">
        <v>141.804</v>
      </c>
      <c r="F20">
        <v>1</v>
      </c>
      <c r="G20" t="s">
        <v>37</v>
      </c>
      <c r="H20" t="s">
        <v>38</v>
      </c>
      <c r="I20" t="s">
        <v>41</v>
      </c>
      <c r="J20" t="s">
        <v>23</v>
      </c>
      <c r="K20">
        <v>7</v>
      </c>
      <c r="L20">
        <v>0</v>
      </c>
      <c r="M20" s="2">
        <f t="shared" si="0"/>
        <v>18292.716</v>
      </c>
      <c r="N20" s="2" t="str">
        <f>IF(Tabla1[[#This Row],[Aprobación_Veterinaria]]=1,"APROBADO","NO APROBADO")</f>
        <v>APROBADO</v>
      </c>
      <c r="O20" t="str">
        <f>IF(Tabla1[[#This Row],[Repite compra?]]=1,"REPITE","NO REPITE")</f>
        <v>NO REPITE</v>
      </c>
      <c r="P20" t="str">
        <f>IF(Tabla1[[#This Row],[rating_segun encuesta a Consumidor]]&lt;5,"Regular",IF(Tabla1[[#This Row],[rating_segun encuesta a Consumidor]]&gt;8,"Excelente","Bueno"))</f>
        <v>Bueno</v>
      </c>
    </row>
    <row r="21" spans="1:16" x14ac:dyDescent="0.35">
      <c r="A21" s="1">
        <v>43880</v>
      </c>
      <c r="B21">
        <v>4341</v>
      </c>
      <c r="C21" t="s">
        <v>43</v>
      </c>
      <c r="D21">
        <v>126</v>
      </c>
      <c r="E21">
        <v>10.08</v>
      </c>
      <c r="F21">
        <v>0</v>
      </c>
      <c r="G21" t="s">
        <v>40</v>
      </c>
      <c r="H21" t="s">
        <v>22</v>
      </c>
      <c r="I21" t="s">
        <v>45</v>
      </c>
      <c r="J21" t="s">
        <v>23</v>
      </c>
      <c r="K21">
        <v>5</v>
      </c>
      <c r="L21">
        <v>1</v>
      </c>
      <c r="M21" s="2">
        <f t="shared" si="0"/>
        <v>1270.08</v>
      </c>
      <c r="N21" s="2" t="str">
        <f>IF(Tabla1[[#This Row],[Aprobación_Veterinaria]]=1,"APROBADO","NO APROBADO")</f>
        <v>NO APROBADO</v>
      </c>
      <c r="O21" t="str">
        <f>IF(Tabla1[[#This Row],[Repite compra?]]=1,"REPITE","NO REPITE")</f>
        <v>REPITE</v>
      </c>
      <c r="P21" t="str">
        <f>IF(Tabla1[[#This Row],[rating_segun encuesta a Consumidor]]&lt;5,"Regular",IF(Tabla1[[#This Row],[rating_segun encuesta a Consumidor]]&gt;8,"Excelente","Bueno"))</f>
        <v>Bueno</v>
      </c>
    </row>
    <row r="22" spans="1:16" x14ac:dyDescent="0.35">
      <c r="A22" s="1">
        <v>44018</v>
      </c>
      <c r="B22">
        <v>4478</v>
      </c>
      <c r="C22" t="s">
        <v>42</v>
      </c>
      <c r="D22">
        <v>210</v>
      </c>
      <c r="E22">
        <v>180.9</v>
      </c>
      <c r="F22">
        <v>1</v>
      </c>
      <c r="G22" t="s">
        <v>16</v>
      </c>
      <c r="H22" t="s">
        <v>22</v>
      </c>
      <c r="I22" t="s">
        <v>41</v>
      </c>
      <c r="J22" t="s">
        <v>29</v>
      </c>
      <c r="K22">
        <v>3</v>
      </c>
      <c r="L22">
        <v>1</v>
      </c>
      <c r="M22" s="2">
        <f t="shared" si="0"/>
        <v>37989</v>
      </c>
      <c r="N22" s="2" t="str">
        <f>IF(Tabla1[[#This Row],[Aprobación_Veterinaria]]=1,"APROBADO","NO APROBADO")</f>
        <v>APROBADO</v>
      </c>
      <c r="O22" t="str">
        <f>IF(Tabla1[[#This Row],[Repite compra?]]=1,"REPITE","NO REPITE")</f>
        <v>REPITE</v>
      </c>
      <c r="P22" t="str">
        <f>IF(Tabla1[[#This Row],[rating_segun encuesta a Consumidor]]&lt;5,"Regular",IF(Tabla1[[#This Row],[rating_segun encuesta a Consumidor]]&gt;8,"Excelente","Bueno"))</f>
        <v>Regular</v>
      </c>
    </row>
    <row r="23" spans="1:16" x14ac:dyDescent="0.35">
      <c r="A23" s="1">
        <v>43942</v>
      </c>
      <c r="B23">
        <v>4179</v>
      </c>
      <c r="C23" t="s">
        <v>46</v>
      </c>
      <c r="D23">
        <v>93</v>
      </c>
      <c r="E23">
        <v>215.292</v>
      </c>
      <c r="F23">
        <v>1</v>
      </c>
      <c r="G23" t="s">
        <v>21</v>
      </c>
      <c r="H23" t="s">
        <v>22</v>
      </c>
      <c r="I23" t="s">
        <v>28</v>
      </c>
      <c r="J23" t="s">
        <v>23</v>
      </c>
      <c r="K23">
        <v>3</v>
      </c>
      <c r="L23">
        <v>0</v>
      </c>
      <c r="M23" s="2">
        <f t="shared" si="0"/>
        <v>20022.155999999999</v>
      </c>
      <c r="N23" s="2" t="str">
        <f>IF(Tabla1[[#This Row],[Aprobación_Veterinaria]]=1,"APROBADO","NO APROBADO")</f>
        <v>APROBADO</v>
      </c>
      <c r="O23" t="str">
        <f>IF(Tabla1[[#This Row],[Repite compra?]]=1,"REPITE","NO REPITE")</f>
        <v>NO REPITE</v>
      </c>
      <c r="P23" t="str">
        <f>IF(Tabla1[[#This Row],[rating_segun encuesta a Consumidor]]&lt;5,"Regular",IF(Tabla1[[#This Row],[rating_segun encuesta a Consumidor]]&gt;8,"Excelente","Bueno"))</f>
        <v>Regular</v>
      </c>
    </row>
    <row r="24" spans="1:16" x14ac:dyDescent="0.35">
      <c r="A24" s="1">
        <v>43902</v>
      </c>
      <c r="B24">
        <v>4384</v>
      </c>
      <c r="C24" t="s">
        <v>47</v>
      </c>
      <c r="D24">
        <v>204</v>
      </c>
      <c r="E24">
        <v>123.696</v>
      </c>
      <c r="F24">
        <v>0</v>
      </c>
      <c r="G24" t="s">
        <v>24</v>
      </c>
      <c r="H24" t="s">
        <v>22</v>
      </c>
      <c r="I24" t="s">
        <v>28</v>
      </c>
      <c r="J24" t="s">
        <v>29</v>
      </c>
      <c r="K24">
        <v>1</v>
      </c>
      <c r="L24">
        <v>1</v>
      </c>
      <c r="M24" s="2">
        <f t="shared" si="0"/>
        <v>25233.984</v>
      </c>
      <c r="N24" s="2" t="str">
        <f>IF(Tabla1[[#This Row],[Aprobación_Veterinaria]]=1,"APROBADO","NO APROBADO")</f>
        <v>NO APROBADO</v>
      </c>
      <c r="O24" t="str">
        <f>IF(Tabla1[[#This Row],[Repite compra?]]=1,"REPITE","NO REPITE")</f>
        <v>REPITE</v>
      </c>
      <c r="P24" t="str">
        <f>IF(Tabla1[[#This Row],[rating_segun encuesta a Consumidor]]&lt;5,"Regular",IF(Tabla1[[#This Row],[rating_segun encuesta a Consumidor]]&gt;8,"Excelente","Bueno"))</f>
        <v>Regular</v>
      </c>
    </row>
    <row r="25" spans="1:16" x14ac:dyDescent="0.35">
      <c r="A25" s="1">
        <v>44117</v>
      </c>
      <c r="B25">
        <v>4561</v>
      </c>
      <c r="C25" t="s">
        <v>43</v>
      </c>
      <c r="D25">
        <v>224</v>
      </c>
      <c r="E25">
        <v>100.28400000000001</v>
      </c>
      <c r="F25">
        <v>0</v>
      </c>
      <c r="G25" t="s">
        <v>27</v>
      </c>
      <c r="H25" t="s">
        <v>22</v>
      </c>
      <c r="I25" t="s">
        <v>45</v>
      </c>
      <c r="J25" t="s">
        <v>23</v>
      </c>
      <c r="K25">
        <v>10</v>
      </c>
      <c r="L25">
        <v>1</v>
      </c>
      <c r="M25" s="2">
        <f t="shared" si="0"/>
        <v>22463.616000000002</v>
      </c>
      <c r="N25" s="2" t="str">
        <f>IF(Tabla1[[#This Row],[Aprobación_Veterinaria]]=1,"APROBADO","NO APROBADO")</f>
        <v>NO APROBADO</v>
      </c>
      <c r="O25" t="str">
        <f>IF(Tabla1[[#This Row],[Repite compra?]]=1,"REPITE","NO REPITE")</f>
        <v>REPITE</v>
      </c>
      <c r="P25" t="str">
        <f>IF(Tabla1[[#This Row],[rating_segun encuesta a Consumidor]]&lt;5,"Regular",IF(Tabla1[[#This Row],[rating_segun encuesta a Consumidor]]&gt;8,"Excelente","Bueno"))</f>
        <v>Excelente</v>
      </c>
    </row>
    <row r="26" spans="1:16" x14ac:dyDescent="0.35">
      <c r="A26" s="1">
        <v>43939</v>
      </c>
      <c r="B26">
        <v>4271</v>
      </c>
      <c r="C26" t="s">
        <v>39</v>
      </c>
      <c r="D26">
        <v>188</v>
      </c>
      <c r="E26">
        <v>20.315999999999999</v>
      </c>
      <c r="F26">
        <v>0</v>
      </c>
      <c r="G26" t="s">
        <v>31</v>
      </c>
      <c r="H26" t="s">
        <v>22</v>
      </c>
      <c r="I26" t="s">
        <v>45</v>
      </c>
      <c r="J26" t="s">
        <v>19</v>
      </c>
      <c r="K26">
        <v>4</v>
      </c>
      <c r="L26">
        <v>1</v>
      </c>
      <c r="M26" s="2">
        <f t="shared" si="0"/>
        <v>3819.4079999999999</v>
      </c>
      <c r="N26" s="2" t="str">
        <f>IF(Tabla1[[#This Row],[Aprobación_Veterinaria]]=1,"APROBADO","NO APROBADO")</f>
        <v>NO APROBADO</v>
      </c>
      <c r="O26" t="str">
        <f>IF(Tabla1[[#This Row],[Repite compra?]]=1,"REPITE","NO REPITE")</f>
        <v>REPITE</v>
      </c>
      <c r="P26" t="str">
        <f>IF(Tabla1[[#This Row],[rating_segun encuesta a Consumidor]]&lt;5,"Regular",IF(Tabla1[[#This Row],[rating_segun encuesta a Consumidor]]&gt;8,"Excelente","Bueno"))</f>
        <v>Regular</v>
      </c>
    </row>
    <row r="27" spans="1:16" x14ac:dyDescent="0.35">
      <c r="A27" s="1">
        <v>43835</v>
      </c>
      <c r="B27">
        <v>4464</v>
      </c>
      <c r="C27" t="s">
        <v>15</v>
      </c>
      <c r="D27">
        <v>142</v>
      </c>
      <c r="E27">
        <v>136.28399999999999</v>
      </c>
      <c r="F27">
        <v>0</v>
      </c>
      <c r="G27" t="s">
        <v>33</v>
      </c>
      <c r="H27" t="s">
        <v>22</v>
      </c>
      <c r="I27" t="s">
        <v>28</v>
      </c>
      <c r="J27" t="s">
        <v>29</v>
      </c>
      <c r="K27">
        <v>6</v>
      </c>
      <c r="L27">
        <v>0</v>
      </c>
      <c r="M27" s="2">
        <f t="shared" si="0"/>
        <v>19352.327999999998</v>
      </c>
      <c r="N27" s="2" t="str">
        <f>IF(Tabla1[[#This Row],[Aprobación_Veterinaria]]=1,"APROBADO","NO APROBADO")</f>
        <v>NO APROBADO</v>
      </c>
      <c r="O27" t="str">
        <f>IF(Tabla1[[#This Row],[Repite compra?]]=1,"REPITE","NO REPITE")</f>
        <v>NO REPITE</v>
      </c>
      <c r="P27" t="str">
        <f>IF(Tabla1[[#This Row],[rating_segun encuesta a Consumidor]]&lt;5,"Regular",IF(Tabla1[[#This Row],[rating_segun encuesta a Consumidor]]&gt;8,"Excelente","Bueno"))</f>
        <v>Bueno</v>
      </c>
    </row>
    <row r="28" spans="1:16" x14ac:dyDescent="0.35">
      <c r="A28" s="1">
        <v>44119</v>
      </c>
      <c r="B28">
        <v>4615</v>
      </c>
      <c r="C28" t="s">
        <v>47</v>
      </c>
      <c r="D28">
        <v>131</v>
      </c>
      <c r="E28">
        <v>228.46800000000002</v>
      </c>
      <c r="F28">
        <v>0</v>
      </c>
      <c r="G28" t="s">
        <v>34</v>
      </c>
      <c r="H28" t="s">
        <v>22</v>
      </c>
      <c r="I28" t="s">
        <v>35</v>
      </c>
      <c r="J28" t="s">
        <v>23</v>
      </c>
      <c r="K28">
        <v>10</v>
      </c>
      <c r="L28">
        <v>0</v>
      </c>
      <c r="M28" s="2">
        <f t="shared" si="0"/>
        <v>29929.308000000001</v>
      </c>
      <c r="N28" s="2" t="str">
        <f>IF(Tabla1[[#This Row],[Aprobación_Veterinaria]]=1,"APROBADO","NO APROBADO")</f>
        <v>NO APROBADO</v>
      </c>
      <c r="O28" t="str">
        <f>IF(Tabla1[[#This Row],[Repite compra?]]=1,"REPITE","NO REPITE")</f>
        <v>NO REPITE</v>
      </c>
      <c r="P28" t="str">
        <f>IF(Tabla1[[#This Row],[rating_segun encuesta a Consumidor]]&lt;5,"Regular",IF(Tabla1[[#This Row],[rating_segun encuesta a Consumidor]]&gt;8,"Excelente","Bueno"))</f>
        <v>Excelente</v>
      </c>
    </row>
    <row r="29" spans="1:16" x14ac:dyDescent="0.35">
      <c r="A29" s="1">
        <v>43997</v>
      </c>
      <c r="B29">
        <v>4671</v>
      </c>
      <c r="C29" t="s">
        <v>43</v>
      </c>
      <c r="D29">
        <v>8</v>
      </c>
      <c r="E29">
        <v>215.50800000000001</v>
      </c>
      <c r="F29">
        <v>1</v>
      </c>
      <c r="G29" t="s">
        <v>36</v>
      </c>
      <c r="H29" t="s">
        <v>22</v>
      </c>
      <c r="I29" t="s">
        <v>45</v>
      </c>
      <c r="J29" t="s">
        <v>23</v>
      </c>
      <c r="K29">
        <v>10</v>
      </c>
      <c r="L29">
        <v>1</v>
      </c>
      <c r="M29" s="2">
        <f t="shared" si="0"/>
        <v>1724.0640000000001</v>
      </c>
      <c r="N29" s="2" t="str">
        <f>IF(Tabla1[[#This Row],[Aprobación_Veterinaria]]=1,"APROBADO","NO APROBADO")</f>
        <v>APROBADO</v>
      </c>
      <c r="O29" t="str">
        <f>IF(Tabla1[[#This Row],[Repite compra?]]=1,"REPITE","NO REPITE")</f>
        <v>REPITE</v>
      </c>
      <c r="P29" t="str">
        <f>IF(Tabla1[[#This Row],[rating_segun encuesta a Consumidor]]&lt;5,"Regular",IF(Tabla1[[#This Row],[rating_segun encuesta a Consumidor]]&gt;8,"Excelente","Bueno"))</f>
        <v>Excelente</v>
      </c>
    </row>
    <row r="30" spans="1:16" x14ac:dyDescent="0.35">
      <c r="A30" s="1">
        <v>44055</v>
      </c>
      <c r="B30">
        <v>4456</v>
      </c>
      <c r="C30" t="s">
        <v>42</v>
      </c>
      <c r="D30">
        <v>61</v>
      </c>
      <c r="E30">
        <v>165.14400000000001</v>
      </c>
      <c r="F30">
        <v>0</v>
      </c>
      <c r="G30" t="s">
        <v>37</v>
      </c>
      <c r="H30" t="s">
        <v>22</v>
      </c>
      <c r="I30" t="s">
        <v>45</v>
      </c>
      <c r="J30" t="s">
        <v>29</v>
      </c>
      <c r="K30">
        <v>6</v>
      </c>
      <c r="L30">
        <v>1</v>
      </c>
      <c r="M30" s="2">
        <f t="shared" si="0"/>
        <v>10073.784</v>
      </c>
      <c r="N30" s="2" t="str">
        <f>IF(Tabla1[[#This Row],[Aprobación_Veterinaria]]=1,"APROBADO","NO APROBADO")</f>
        <v>NO APROBADO</v>
      </c>
      <c r="O30" t="str">
        <f>IF(Tabla1[[#This Row],[Repite compra?]]=1,"REPITE","NO REPITE")</f>
        <v>REPITE</v>
      </c>
      <c r="P30" t="str">
        <f>IF(Tabla1[[#This Row],[rating_segun encuesta a Consumidor]]&lt;5,"Regular",IF(Tabla1[[#This Row],[rating_segun encuesta a Consumidor]]&gt;8,"Excelente","Bueno"))</f>
        <v>Bueno</v>
      </c>
    </row>
    <row r="31" spans="1:16" x14ac:dyDescent="0.35">
      <c r="A31" s="1">
        <v>44001</v>
      </c>
      <c r="B31">
        <v>4316</v>
      </c>
      <c r="C31" t="s">
        <v>30</v>
      </c>
      <c r="D31">
        <v>22</v>
      </c>
      <c r="E31">
        <v>62.376000000000005</v>
      </c>
      <c r="F31">
        <v>1</v>
      </c>
      <c r="G31" t="s">
        <v>40</v>
      </c>
      <c r="H31" t="s">
        <v>22</v>
      </c>
      <c r="I31" t="s">
        <v>45</v>
      </c>
      <c r="J31" t="s">
        <v>29</v>
      </c>
      <c r="K31">
        <v>6</v>
      </c>
      <c r="L31">
        <v>1</v>
      </c>
      <c r="M31" s="2">
        <f t="shared" si="0"/>
        <v>1372.2720000000002</v>
      </c>
      <c r="N31" s="2" t="str">
        <f>IF(Tabla1[[#This Row],[Aprobación_Veterinaria]]=1,"APROBADO","NO APROBADO")</f>
        <v>APROBADO</v>
      </c>
      <c r="O31" t="str">
        <f>IF(Tabla1[[#This Row],[Repite compra?]]=1,"REPITE","NO REPITE")</f>
        <v>REPITE</v>
      </c>
      <c r="P31" t="str">
        <f>IF(Tabla1[[#This Row],[rating_segun encuesta a Consumidor]]&lt;5,"Regular",IF(Tabla1[[#This Row],[rating_segun encuesta a Consumidor]]&gt;8,"Excelente","Bueno"))</f>
        <v>Bueno</v>
      </c>
    </row>
    <row r="32" spans="1:16" x14ac:dyDescent="0.35">
      <c r="A32" s="1">
        <v>44060</v>
      </c>
      <c r="B32">
        <v>4756</v>
      </c>
      <c r="C32" t="s">
        <v>39</v>
      </c>
      <c r="D32">
        <v>170</v>
      </c>
      <c r="E32">
        <v>126.94800000000001</v>
      </c>
      <c r="F32">
        <v>1</v>
      </c>
      <c r="G32" t="s">
        <v>16</v>
      </c>
      <c r="H32" t="s">
        <v>48</v>
      </c>
      <c r="I32" t="s">
        <v>18</v>
      </c>
      <c r="J32" t="s">
        <v>29</v>
      </c>
      <c r="K32">
        <v>7</v>
      </c>
      <c r="L32">
        <v>0</v>
      </c>
      <c r="M32" s="2">
        <f t="shared" si="0"/>
        <v>21581.16</v>
      </c>
      <c r="N32" s="2" t="str">
        <f>IF(Tabla1[[#This Row],[Aprobación_Veterinaria]]=1,"APROBADO","NO APROBADO")</f>
        <v>APROBADO</v>
      </c>
      <c r="O32" t="str">
        <f>IF(Tabla1[[#This Row],[Repite compra?]]=1,"REPITE","NO REPITE")</f>
        <v>NO REPITE</v>
      </c>
      <c r="P32" t="str">
        <f>IF(Tabla1[[#This Row],[rating_segun encuesta a Consumidor]]&lt;5,"Regular",IF(Tabla1[[#This Row],[rating_segun encuesta a Consumidor]]&gt;8,"Excelente","Bueno"))</f>
        <v>Bueno</v>
      </c>
    </row>
    <row r="33" spans="1:16" x14ac:dyDescent="0.35">
      <c r="A33" s="1">
        <v>43919</v>
      </c>
      <c r="B33">
        <v>5025</v>
      </c>
      <c r="C33" t="s">
        <v>15</v>
      </c>
      <c r="D33">
        <v>172</v>
      </c>
      <c r="E33">
        <v>227.70000000000002</v>
      </c>
      <c r="F33">
        <v>1</v>
      </c>
      <c r="G33" t="s">
        <v>21</v>
      </c>
      <c r="H33" t="s">
        <v>44</v>
      </c>
      <c r="I33" t="s">
        <v>41</v>
      </c>
      <c r="J33" t="s">
        <v>49</v>
      </c>
      <c r="K33">
        <v>6</v>
      </c>
      <c r="L33">
        <v>1</v>
      </c>
      <c r="M33" s="2">
        <f t="shared" si="0"/>
        <v>39164.400000000001</v>
      </c>
      <c r="N33" s="2" t="str">
        <f>IF(Tabla1[[#This Row],[Aprobación_Veterinaria]]=1,"APROBADO","NO APROBADO")</f>
        <v>APROBADO</v>
      </c>
      <c r="O33" t="str">
        <f>IF(Tabla1[[#This Row],[Repite compra?]]=1,"REPITE","NO REPITE")</f>
        <v>REPITE</v>
      </c>
      <c r="P33" t="str">
        <f>IF(Tabla1[[#This Row],[rating_segun encuesta a Consumidor]]&lt;5,"Regular",IF(Tabla1[[#This Row],[rating_segun encuesta a Consumidor]]&gt;8,"Excelente","Bueno"))</f>
        <v>Bueno</v>
      </c>
    </row>
    <row r="34" spans="1:16" x14ac:dyDescent="0.35">
      <c r="A34" s="1">
        <v>44142</v>
      </c>
      <c r="B34">
        <v>4595</v>
      </c>
      <c r="C34" t="s">
        <v>26</v>
      </c>
      <c r="D34">
        <v>117</v>
      </c>
      <c r="E34">
        <v>113.04</v>
      </c>
      <c r="F34">
        <v>1</v>
      </c>
      <c r="G34" t="s">
        <v>24</v>
      </c>
      <c r="H34" t="s">
        <v>22</v>
      </c>
      <c r="I34" t="s">
        <v>35</v>
      </c>
      <c r="J34" t="s">
        <v>23</v>
      </c>
      <c r="K34">
        <v>10</v>
      </c>
      <c r="L34">
        <v>0</v>
      </c>
      <c r="M34" s="2">
        <f t="shared" si="0"/>
        <v>13225.68</v>
      </c>
      <c r="N34" s="2" t="str">
        <f>IF(Tabla1[[#This Row],[Aprobación_Veterinaria]]=1,"APROBADO","NO APROBADO")</f>
        <v>APROBADO</v>
      </c>
      <c r="O34" t="str">
        <f>IF(Tabla1[[#This Row],[Repite compra?]]=1,"REPITE","NO REPITE")</f>
        <v>NO REPITE</v>
      </c>
      <c r="P34" t="str">
        <f>IF(Tabla1[[#This Row],[rating_segun encuesta a Consumidor]]&lt;5,"Regular",IF(Tabla1[[#This Row],[rating_segun encuesta a Consumidor]]&gt;8,"Excelente","Bueno"))</f>
        <v>Excelente</v>
      </c>
    </row>
    <row r="35" spans="1:16" x14ac:dyDescent="0.35">
      <c r="A35" s="1">
        <v>44049</v>
      </c>
      <c r="B35">
        <v>4575</v>
      </c>
      <c r="C35" t="s">
        <v>46</v>
      </c>
      <c r="D35">
        <v>74</v>
      </c>
      <c r="E35">
        <v>81.372</v>
      </c>
      <c r="F35">
        <v>0</v>
      </c>
      <c r="G35" t="s">
        <v>27</v>
      </c>
      <c r="H35" t="s">
        <v>22</v>
      </c>
      <c r="I35" t="s">
        <v>35</v>
      </c>
      <c r="J35" t="s">
        <v>23</v>
      </c>
      <c r="K35">
        <v>10</v>
      </c>
      <c r="L35">
        <v>1</v>
      </c>
      <c r="M35" s="2">
        <f t="shared" si="0"/>
        <v>6021.5280000000002</v>
      </c>
      <c r="N35" s="2" t="str">
        <f>IF(Tabla1[[#This Row],[Aprobación_Veterinaria]]=1,"APROBADO","NO APROBADO")</f>
        <v>NO APROBADO</v>
      </c>
      <c r="O35" t="str">
        <f>IF(Tabla1[[#This Row],[Repite compra?]]=1,"REPITE","NO REPITE")</f>
        <v>REPITE</v>
      </c>
      <c r="P35" t="str">
        <f>IF(Tabla1[[#This Row],[rating_segun encuesta a Consumidor]]&lt;5,"Regular",IF(Tabla1[[#This Row],[rating_segun encuesta a Consumidor]]&gt;8,"Excelente","Bueno"))</f>
        <v>Excelente</v>
      </c>
    </row>
    <row r="36" spans="1:16" x14ac:dyDescent="0.35">
      <c r="A36" s="1">
        <v>44037</v>
      </c>
      <c r="B36">
        <v>4891</v>
      </c>
      <c r="C36" t="s">
        <v>26</v>
      </c>
      <c r="D36">
        <v>137</v>
      </c>
      <c r="E36">
        <v>217.488</v>
      </c>
      <c r="F36">
        <v>0</v>
      </c>
      <c r="G36" t="s">
        <v>31</v>
      </c>
      <c r="H36" t="s">
        <v>48</v>
      </c>
      <c r="I36" t="s">
        <v>41</v>
      </c>
      <c r="J36" t="s">
        <v>23</v>
      </c>
      <c r="K36">
        <v>6</v>
      </c>
      <c r="L36">
        <v>0</v>
      </c>
      <c r="M36" s="2">
        <f t="shared" si="0"/>
        <v>29795.856</v>
      </c>
      <c r="N36" s="2" t="str">
        <f>IF(Tabla1[[#This Row],[Aprobación_Veterinaria]]=1,"APROBADO","NO APROBADO")</f>
        <v>NO APROBADO</v>
      </c>
      <c r="O36" t="str">
        <f>IF(Tabla1[[#This Row],[Repite compra?]]=1,"REPITE","NO REPITE")</f>
        <v>NO REPITE</v>
      </c>
      <c r="P36" t="str">
        <f>IF(Tabla1[[#This Row],[rating_segun encuesta a Consumidor]]&lt;5,"Regular",IF(Tabla1[[#This Row],[rating_segun encuesta a Consumidor]]&gt;8,"Excelente","Bueno"))</f>
        <v>Bueno</v>
      </c>
    </row>
    <row r="37" spans="1:16" x14ac:dyDescent="0.35">
      <c r="A37" s="1">
        <v>43849</v>
      </c>
      <c r="B37">
        <v>4513</v>
      </c>
      <c r="C37" t="s">
        <v>39</v>
      </c>
      <c r="D37">
        <v>42</v>
      </c>
      <c r="E37">
        <v>180.56399999999999</v>
      </c>
      <c r="F37">
        <v>0</v>
      </c>
      <c r="G37" t="s">
        <v>33</v>
      </c>
      <c r="H37" t="s">
        <v>22</v>
      </c>
      <c r="I37" t="s">
        <v>41</v>
      </c>
      <c r="J37" t="s">
        <v>23</v>
      </c>
      <c r="K37">
        <v>9</v>
      </c>
      <c r="L37">
        <v>1</v>
      </c>
      <c r="M37" s="2">
        <f t="shared" si="0"/>
        <v>7583.6880000000001</v>
      </c>
      <c r="N37" s="2" t="str">
        <f>IF(Tabla1[[#This Row],[Aprobación_Veterinaria]]=1,"APROBADO","NO APROBADO")</f>
        <v>NO APROBADO</v>
      </c>
      <c r="O37" t="str">
        <f>IF(Tabla1[[#This Row],[Repite compra?]]=1,"REPITE","NO REPITE")</f>
        <v>REPITE</v>
      </c>
      <c r="P37" t="str">
        <f>IF(Tabla1[[#This Row],[rating_segun encuesta a Consumidor]]&lt;5,"Regular",IF(Tabla1[[#This Row],[rating_segun encuesta a Consumidor]]&gt;8,"Excelente","Bueno"))</f>
        <v>Excelente</v>
      </c>
    </row>
    <row r="38" spans="1:16" x14ac:dyDescent="0.35">
      <c r="A38" s="1">
        <v>44160</v>
      </c>
      <c r="B38">
        <v>4208</v>
      </c>
      <c r="C38" t="s">
        <v>47</v>
      </c>
      <c r="D38">
        <v>218</v>
      </c>
      <c r="E38">
        <v>73.835999999999999</v>
      </c>
      <c r="F38">
        <v>0</v>
      </c>
      <c r="G38" t="s">
        <v>34</v>
      </c>
      <c r="H38" t="s">
        <v>22</v>
      </c>
      <c r="I38" t="s">
        <v>41</v>
      </c>
      <c r="J38" t="s">
        <v>29</v>
      </c>
      <c r="K38">
        <v>1</v>
      </c>
      <c r="L38">
        <v>1</v>
      </c>
      <c r="M38" s="2">
        <f t="shared" si="0"/>
        <v>16096.248</v>
      </c>
      <c r="N38" s="2" t="str">
        <f>IF(Tabla1[[#This Row],[Aprobación_Veterinaria]]=1,"APROBADO","NO APROBADO")</f>
        <v>NO APROBADO</v>
      </c>
      <c r="O38" t="str">
        <f>IF(Tabla1[[#This Row],[Repite compra?]]=1,"REPITE","NO REPITE")</f>
        <v>REPITE</v>
      </c>
      <c r="P38" t="str">
        <f>IF(Tabla1[[#This Row],[rating_segun encuesta a Consumidor]]&lt;5,"Regular",IF(Tabla1[[#This Row],[rating_segun encuesta a Consumidor]]&gt;8,"Excelente","Bueno"))</f>
        <v>Regular</v>
      </c>
    </row>
    <row r="39" spans="1:16" x14ac:dyDescent="0.35">
      <c r="A39" s="1">
        <v>43928</v>
      </c>
      <c r="B39">
        <v>5021</v>
      </c>
      <c r="C39" t="s">
        <v>20</v>
      </c>
      <c r="D39">
        <v>196</v>
      </c>
      <c r="E39">
        <v>223.548</v>
      </c>
      <c r="F39">
        <v>0</v>
      </c>
      <c r="G39" t="s">
        <v>36</v>
      </c>
      <c r="H39" t="s">
        <v>48</v>
      </c>
      <c r="I39" t="s">
        <v>41</v>
      </c>
      <c r="J39" t="s">
        <v>49</v>
      </c>
      <c r="K39">
        <v>6</v>
      </c>
      <c r="L39">
        <v>1</v>
      </c>
      <c r="M39" s="2">
        <f t="shared" si="0"/>
        <v>43815.408000000003</v>
      </c>
      <c r="N39" s="2" t="str">
        <f>IF(Tabla1[[#This Row],[Aprobación_Veterinaria]]=1,"APROBADO","NO APROBADO")</f>
        <v>NO APROBADO</v>
      </c>
      <c r="O39" t="str">
        <f>IF(Tabla1[[#This Row],[Repite compra?]]=1,"REPITE","NO REPITE")</f>
        <v>REPITE</v>
      </c>
      <c r="P39" t="str">
        <f>IF(Tabla1[[#This Row],[rating_segun encuesta a Consumidor]]&lt;5,"Regular",IF(Tabla1[[#This Row],[rating_segun encuesta a Consumidor]]&gt;8,"Excelente","Bueno"))</f>
        <v>Bueno</v>
      </c>
    </row>
    <row r="40" spans="1:16" x14ac:dyDescent="0.35">
      <c r="A40" s="1">
        <v>44163</v>
      </c>
      <c r="B40">
        <v>4224</v>
      </c>
      <c r="C40" t="s">
        <v>32</v>
      </c>
      <c r="D40">
        <v>12</v>
      </c>
      <c r="E40">
        <v>131.49600000000001</v>
      </c>
      <c r="F40">
        <v>0</v>
      </c>
      <c r="G40" t="s">
        <v>37</v>
      </c>
      <c r="H40" t="s">
        <v>22</v>
      </c>
      <c r="I40" t="s">
        <v>28</v>
      </c>
      <c r="J40" t="s">
        <v>49</v>
      </c>
      <c r="K40">
        <v>1</v>
      </c>
      <c r="L40">
        <v>1</v>
      </c>
      <c r="M40" s="2">
        <f t="shared" si="0"/>
        <v>1577.9520000000002</v>
      </c>
      <c r="N40" s="2" t="str">
        <f>IF(Tabla1[[#This Row],[Aprobación_Veterinaria]]=1,"APROBADO","NO APROBADO")</f>
        <v>NO APROBADO</v>
      </c>
      <c r="O40" t="str">
        <f>IF(Tabla1[[#This Row],[Repite compra?]]=1,"REPITE","NO REPITE")</f>
        <v>REPITE</v>
      </c>
      <c r="P40" t="str">
        <f>IF(Tabla1[[#This Row],[rating_segun encuesta a Consumidor]]&lt;5,"Regular",IF(Tabla1[[#This Row],[rating_segun encuesta a Consumidor]]&gt;8,"Excelente","Bueno"))</f>
        <v>Regular</v>
      </c>
    </row>
    <row r="41" spans="1:16" x14ac:dyDescent="0.35">
      <c r="A41" s="1">
        <v>43901</v>
      </c>
      <c r="B41">
        <v>4938</v>
      </c>
      <c r="C41" t="s">
        <v>15</v>
      </c>
      <c r="D41">
        <v>162</v>
      </c>
      <c r="E41">
        <v>128.01599999999999</v>
      </c>
      <c r="F41">
        <v>0</v>
      </c>
      <c r="G41" t="s">
        <v>40</v>
      </c>
      <c r="H41" t="s">
        <v>50</v>
      </c>
      <c r="I41" t="s">
        <v>18</v>
      </c>
      <c r="J41" t="s">
        <v>29</v>
      </c>
      <c r="K41">
        <v>6</v>
      </c>
      <c r="L41">
        <v>0</v>
      </c>
      <c r="M41" s="2">
        <f t="shared" si="0"/>
        <v>20738.591999999997</v>
      </c>
      <c r="N41" s="2" t="str">
        <f>IF(Tabla1[[#This Row],[Aprobación_Veterinaria]]=1,"APROBADO","NO APROBADO")</f>
        <v>NO APROBADO</v>
      </c>
      <c r="O41" t="str">
        <f>IF(Tabla1[[#This Row],[Repite compra?]]=1,"REPITE","NO REPITE")</f>
        <v>NO REPITE</v>
      </c>
      <c r="P41" t="str">
        <f>IF(Tabla1[[#This Row],[rating_segun encuesta a Consumidor]]&lt;5,"Regular",IF(Tabla1[[#This Row],[rating_segun encuesta a Consumidor]]&gt;8,"Excelente","Bueno"))</f>
        <v>Bueno</v>
      </c>
    </row>
    <row r="42" spans="1:16" x14ac:dyDescent="0.35">
      <c r="A42" s="1">
        <v>43870</v>
      </c>
      <c r="B42">
        <v>4551</v>
      </c>
      <c r="C42" t="s">
        <v>26</v>
      </c>
      <c r="D42">
        <v>100</v>
      </c>
      <c r="E42">
        <v>118.86</v>
      </c>
      <c r="F42">
        <v>1</v>
      </c>
      <c r="G42" t="s">
        <v>16</v>
      </c>
      <c r="H42" t="s">
        <v>22</v>
      </c>
      <c r="I42" t="s">
        <v>45</v>
      </c>
      <c r="J42" t="s">
        <v>23</v>
      </c>
      <c r="K42">
        <v>10</v>
      </c>
      <c r="L42">
        <v>0</v>
      </c>
      <c r="M42" s="2">
        <f t="shared" si="0"/>
        <v>11886</v>
      </c>
      <c r="N42" s="2" t="str">
        <f>IF(Tabla1[[#This Row],[Aprobación_Veterinaria]]=1,"APROBADO","NO APROBADO")</f>
        <v>APROBADO</v>
      </c>
      <c r="O42" t="str">
        <f>IF(Tabla1[[#This Row],[Repite compra?]]=1,"REPITE","NO REPITE")</f>
        <v>NO REPITE</v>
      </c>
      <c r="P42" t="str">
        <f>IF(Tabla1[[#This Row],[rating_segun encuesta a Consumidor]]&lt;5,"Regular",IF(Tabla1[[#This Row],[rating_segun encuesta a Consumidor]]&gt;8,"Excelente","Bueno"))</f>
        <v>Excelente</v>
      </c>
    </row>
    <row r="43" spans="1:16" x14ac:dyDescent="0.35">
      <c r="A43" s="1">
        <v>43900</v>
      </c>
      <c r="B43">
        <v>4477</v>
      </c>
      <c r="C43" t="s">
        <v>32</v>
      </c>
      <c r="D43">
        <v>202</v>
      </c>
      <c r="E43">
        <v>77.567999999999998</v>
      </c>
      <c r="F43">
        <v>1</v>
      </c>
      <c r="G43" t="s">
        <v>21</v>
      </c>
      <c r="H43" t="s">
        <v>22</v>
      </c>
      <c r="I43" t="s">
        <v>18</v>
      </c>
      <c r="J43" t="s">
        <v>23</v>
      </c>
      <c r="K43">
        <v>6</v>
      </c>
      <c r="L43">
        <v>1</v>
      </c>
      <c r="M43" s="2">
        <f t="shared" si="0"/>
        <v>15668.735999999999</v>
      </c>
      <c r="N43" s="2" t="str">
        <f>IF(Tabla1[[#This Row],[Aprobación_Veterinaria]]=1,"APROBADO","NO APROBADO")</f>
        <v>APROBADO</v>
      </c>
      <c r="O43" t="str">
        <f>IF(Tabla1[[#This Row],[Repite compra?]]=1,"REPITE","NO REPITE")</f>
        <v>REPITE</v>
      </c>
      <c r="P43" t="str">
        <f>IF(Tabla1[[#This Row],[rating_segun encuesta a Consumidor]]&lt;5,"Regular",IF(Tabla1[[#This Row],[rating_segun encuesta a Consumidor]]&gt;8,"Excelente","Bueno"))</f>
        <v>Bueno</v>
      </c>
    </row>
    <row r="44" spans="1:16" x14ac:dyDescent="0.35">
      <c r="A44" s="1">
        <v>44083</v>
      </c>
      <c r="B44">
        <v>4648</v>
      </c>
      <c r="C44" t="s">
        <v>47</v>
      </c>
      <c r="D44">
        <v>230</v>
      </c>
      <c r="E44">
        <v>17.868000000000002</v>
      </c>
      <c r="F44">
        <v>0</v>
      </c>
      <c r="G44" t="s">
        <v>24</v>
      </c>
      <c r="H44" t="s">
        <v>22</v>
      </c>
      <c r="I44" t="s">
        <v>41</v>
      </c>
      <c r="J44" t="s">
        <v>29</v>
      </c>
      <c r="K44">
        <v>10</v>
      </c>
      <c r="L44">
        <v>0</v>
      </c>
      <c r="M44" s="2">
        <f t="shared" si="0"/>
        <v>4109.6400000000003</v>
      </c>
      <c r="N44" s="2" t="str">
        <f>IF(Tabla1[[#This Row],[Aprobación_Veterinaria]]=1,"APROBADO","NO APROBADO")</f>
        <v>NO APROBADO</v>
      </c>
      <c r="O44" t="str">
        <f>IF(Tabla1[[#This Row],[Repite compra?]]=1,"REPITE","NO REPITE")</f>
        <v>NO REPITE</v>
      </c>
      <c r="P44" t="str">
        <f>IF(Tabla1[[#This Row],[rating_segun encuesta a Consumidor]]&lt;5,"Regular",IF(Tabla1[[#This Row],[rating_segun encuesta a Consumidor]]&gt;8,"Excelente","Bueno"))</f>
        <v>Excelente</v>
      </c>
    </row>
    <row r="45" spans="1:16" x14ac:dyDescent="0.35">
      <c r="A45" s="1">
        <v>44020</v>
      </c>
      <c r="B45">
        <v>4506</v>
      </c>
      <c r="C45" t="s">
        <v>43</v>
      </c>
      <c r="D45">
        <v>13</v>
      </c>
      <c r="E45">
        <v>80.111999999999995</v>
      </c>
      <c r="F45">
        <v>1</v>
      </c>
      <c r="G45" t="s">
        <v>27</v>
      </c>
      <c r="H45" t="s">
        <v>22</v>
      </c>
      <c r="I45" t="s">
        <v>45</v>
      </c>
      <c r="J45" t="s">
        <v>29</v>
      </c>
      <c r="K45">
        <v>9</v>
      </c>
      <c r="L45">
        <v>1</v>
      </c>
      <c r="M45" s="2">
        <f t="shared" si="0"/>
        <v>1041.4559999999999</v>
      </c>
      <c r="N45" s="2" t="str">
        <f>IF(Tabla1[[#This Row],[Aprobación_Veterinaria]]=1,"APROBADO","NO APROBADO")</f>
        <v>APROBADO</v>
      </c>
      <c r="O45" t="str">
        <f>IF(Tabla1[[#This Row],[Repite compra?]]=1,"REPITE","NO REPITE")</f>
        <v>REPITE</v>
      </c>
      <c r="P45" t="str">
        <f>IF(Tabla1[[#This Row],[rating_segun encuesta a Consumidor]]&lt;5,"Regular",IF(Tabla1[[#This Row],[rating_segun encuesta a Consumidor]]&gt;8,"Excelente","Bueno"))</f>
        <v>Excelente</v>
      </c>
    </row>
    <row r="46" spans="1:16" x14ac:dyDescent="0.35">
      <c r="A46" s="1">
        <v>43952</v>
      </c>
      <c r="B46">
        <v>4594</v>
      </c>
      <c r="C46" t="s">
        <v>43</v>
      </c>
      <c r="D46">
        <v>143</v>
      </c>
      <c r="E46">
        <v>10.572000000000001</v>
      </c>
      <c r="F46">
        <v>0</v>
      </c>
      <c r="G46" t="s">
        <v>31</v>
      </c>
      <c r="H46" t="s">
        <v>22</v>
      </c>
      <c r="I46" t="s">
        <v>28</v>
      </c>
      <c r="J46" t="s">
        <v>29</v>
      </c>
      <c r="K46">
        <v>10</v>
      </c>
      <c r="L46">
        <v>0</v>
      </c>
      <c r="M46" s="2">
        <f t="shared" si="0"/>
        <v>1511.796</v>
      </c>
      <c r="N46" s="2" t="str">
        <f>IF(Tabla1[[#This Row],[Aprobación_Veterinaria]]=1,"APROBADO","NO APROBADO")</f>
        <v>NO APROBADO</v>
      </c>
      <c r="O46" t="str">
        <f>IF(Tabla1[[#This Row],[Repite compra?]]=1,"REPITE","NO REPITE")</f>
        <v>NO REPITE</v>
      </c>
      <c r="P46" t="str">
        <f>IF(Tabla1[[#This Row],[rating_segun encuesta a Consumidor]]&lt;5,"Regular",IF(Tabla1[[#This Row],[rating_segun encuesta a Consumidor]]&gt;8,"Excelente","Bueno"))</f>
        <v>Excelente</v>
      </c>
    </row>
    <row r="47" spans="1:16" x14ac:dyDescent="0.35">
      <c r="A47" s="1">
        <v>44098</v>
      </c>
      <c r="B47">
        <v>4813</v>
      </c>
      <c r="C47" t="s">
        <v>26</v>
      </c>
      <c r="D47">
        <v>53</v>
      </c>
      <c r="E47">
        <v>85.308000000000007</v>
      </c>
      <c r="F47">
        <v>0</v>
      </c>
      <c r="G47" t="s">
        <v>33</v>
      </c>
      <c r="H47" t="s">
        <v>50</v>
      </c>
      <c r="I47" t="s">
        <v>41</v>
      </c>
      <c r="J47" t="s">
        <v>23</v>
      </c>
      <c r="K47">
        <v>2</v>
      </c>
      <c r="L47">
        <v>1</v>
      </c>
      <c r="M47" s="2">
        <f t="shared" si="0"/>
        <v>4521.3240000000005</v>
      </c>
      <c r="N47" s="2" t="str">
        <f>IF(Tabla1[[#This Row],[Aprobación_Veterinaria]]=1,"APROBADO","NO APROBADO")</f>
        <v>NO APROBADO</v>
      </c>
      <c r="O47" t="str">
        <f>IF(Tabla1[[#This Row],[Repite compra?]]=1,"REPITE","NO REPITE")</f>
        <v>REPITE</v>
      </c>
      <c r="P47" t="str">
        <f>IF(Tabla1[[#This Row],[rating_segun encuesta a Consumidor]]&lt;5,"Regular",IF(Tabla1[[#This Row],[rating_segun encuesta a Consumidor]]&gt;8,"Excelente","Bueno"))</f>
        <v>Regular</v>
      </c>
    </row>
    <row r="48" spans="1:16" x14ac:dyDescent="0.35">
      <c r="A48" s="1">
        <v>44122</v>
      </c>
      <c r="B48">
        <v>4273</v>
      </c>
      <c r="C48" t="s">
        <v>51</v>
      </c>
      <c r="D48">
        <v>25</v>
      </c>
      <c r="E48">
        <v>63.96</v>
      </c>
      <c r="F48">
        <v>0</v>
      </c>
      <c r="G48" t="s">
        <v>34</v>
      </c>
      <c r="H48" t="s">
        <v>22</v>
      </c>
      <c r="I48" t="s">
        <v>41</v>
      </c>
      <c r="J48" t="s">
        <v>25</v>
      </c>
      <c r="K48">
        <v>1</v>
      </c>
      <c r="L48">
        <v>0</v>
      </c>
      <c r="M48" s="2">
        <f t="shared" si="0"/>
        <v>1599</v>
      </c>
      <c r="N48" s="2" t="str">
        <f>IF(Tabla1[[#This Row],[Aprobación_Veterinaria]]=1,"APROBADO","NO APROBADO")</f>
        <v>NO APROBADO</v>
      </c>
      <c r="O48" t="str">
        <f>IF(Tabla1[[#This Row],[Repite compra?]]=1,"REPITE","NO REPITE")</f>
        <v>NO REPITE</v>
      </c>
      <c r="P48" t="str">
        <f>IF(Tabla1[[#This Row],[rating_segun encuesta a Consumidor]]&lt;5,"Regular",IF(Tabla1[[#This Row],[rating_segun encuesta a Consumidor]]&gt;8,"Excelente","Bueno"))</f>
        <v>Regular</v>
      </c>
    </row>
    <row r="49" spans="1:16" x14ac:dyDescent="0.35">
      <c r="A49" s="1">
        <v>44188</v>
      </c>
      <c r="B49">
        <v>4945</v>
      </c>
      <c r="C49" t="s">
        <v>26</v>
      </c>
      <c r="D49">
        <v>21</v>
      </c>
      <c r="E49">
        <v>177.88800000000001</v>
      </c>
      <c r="F49">
        <v>1</v>
      </c>
      <c r="G49" t="s">
        <v>36</v>
      </c>
      <c r="H49" t="s">
        <v>44</v>
      </c>
      <c r="I49" t="s">
        <v>41</v>
      </c>
      <c r="J49" t="s">
        <v>23</v>
      </c>
      <c r="K49">
        <v>6</v>
      </c>
      <c r="L49">
        <v>0</v>
      </c>
      <c r="M49" s="2">
        <f t="shared" si="0"/>
        <v>3735.6480000000001</v>
      </c>
      <c r="N49" s="2" t="str">
        <f>IF(Tabla1[[#This Row],[Aprobación_Veterinaria]]=1,"APROBADO","NO APROBADO")</f>
        <v>APROBADO</v>
      </c>
      <c r="O49" t="str">
        <f>IF(Tabla1[[#This Row],[Repite compra?]]=1,"REPITE","NO REPITE")</f>
        <v>NO REPITE</v>
      </c>
      <c r="P49" t="str">
        <f>IF(Tabla1[[#This Row],[rating_segun encuesta a Consumidor]]&lt;5,"Regular",IF(Tabla1[[#This Row],[rating_segun encuesta a Consumidor]]&gt;8,"Excelente","Bueno"))</f>
        <v>Bueno</v>
      </c>
    </row>
    <row r="50" spans="1:16" x14ac:dyDescent="0.35">
      <c r="A50" s="1">
        <v>44105</v>
      </c>
      <c r="B50">
        <v>4913</v>
      </c>
      <c r="C50" t="s">
        <v>20</v>
      </c>
      <c r="D50">
        <v>213</v>
      </c>
      <c r="E50">
        <v>160.82400000000001</v>
      </c>
      <c r="F50">
        <v>1</v>
      </c>
      <c r="G50" t="s">
        <v>37</v>
      </c>
      <c r="H50" t="s">
        <v>50</v>
      </c>
      <c r="I50" t="s">
        <v>41</v>
      </c>
      <c r="J50" t="s">
        <v>23</v>
      </c>
      <c r="K50">
        <v>6</v>
      </c>
      <c r="L50">
        <v>0</v>
      </c>
      <c r="M50" s="2">
        <f t="shared" si="0"/>
        <v>34255.512000000002</v>
      </c>
      <c r="N50" s="2" t="str">
        <f>IF(Tabla1[[#This Row],[Aprobación_Veterinaria]]=1,"APROBADO","NO APROBADO")</f>
        <v>APROBADO</v>
      </c>
      <c r="O50" t="str">
        <f>IF(Tabla1[[#This Row],[Repite compra?]]=1,"REPITE","NO REPITE")</f>
        <v>NO REPITE</v>
      </c>
      <c r="P50" t="str">
        <f>IF(Tabla1[[#This Row],[rating_segun encuesta a Consumidor]]&lt;5,"Regular",IF(Tabla1[[#This Row],[rating_segun encuesta a Consumidor]]&gt;8,"Excelente","Bueno"))</f>
        <v>Bueno</v>
      </c>
    </row>
    <row r="51" spans="1:16" x14ac:dyDescent="0.35">
      <c r="A51" s="1">
        <v>44168</v>
      </c>
      <c r="B51">
        <v>4640</v>
      </c>
      <c r="C51" t="s">
        <v>15</v>
      </c>
      <c r="D51">
        <v>21</v>
      </c>
      <c r="E51">
        <v>170.49600000000001</v>
      </c>
      <c r="F51">
        <v>1</v>
      </c>
      <c r="G51" t="s">
        <v>40</v>
      </c>
      <c r="H51" t="s">
        <v>22</v>
      </c>
      <c r="I51" t="s">
        <v>35</v>
      </c>
      <c r="J51" t="s">
        <v>29</v>
      </c>
      <c r="K51">
        <v>10</v>
      </c>
      <c r="L51">
        <v>1</v>
      </c>
      <c r="M51" s="2">
        <f t="shared" si="0"/>
        <v>3580.4160000000002</v>
      </c>
      <c r="N51" s="2" t="str">
        <f>IF(Tabla1[[#This Row],[Aprobación_Veterinaria]]=1,"APROBADO","NO APROBADO")</f>
        <v>APROBADO</v>
      </c>
      <c r="O51" t="str">
        <f>IF(Tabla1[[#This Row],[Repite compra?]]=1,"REPITE","NO REPITE")</f>
        <v>REPITE</v>
      </c>
      <c r="P51" t="str">
        <f>IF(Tabla1[[#This Row],[rating_segun encuesta a Consumidor]]&lt;5,"Regular",IF(Tabla1[[#This Row],[rating_segun encuesta a Consumidor]]&gt;8,"Excelente","Bueno"))</f>
        <v>Excelente</v>
      </c>
    </row>
    <row r="52" spans="1:16" x14ac:dyDescent="0.35">
      <c r="A52" s="1">
        <v>43980</v>
      </c>
      <c r="B52">
        <v>4427</v>
      </c>
      <c r="C52" t="s">
        <v>51</v>
      </c>
      <c r="D52">
        <v>101</v>
      </c>
      <c r="E52">
        <v>11.327999999999999</v>
      </c>
      <c r="F52">
        <v>0</v>
      </c>
      <c r="G52" t="s">
        <v>16</v>
      </c>
      <c r="H52" t="s">
        <v>22</v>
      </c>
      <c r="I52" t="s">
        <v>18</v>
      </c>
      <c r="J52" t="s">
        <v>23</v>
      </c>
      <c r="K52">
        <v>2</v>
      </c>
      <c r="L52">
        <v>0</v>
      </c>
      <c r="M52" s="2">
        <f t="shared" si="0"/>
        <v>1144.1279999999999</v>
      </c>
      <c r="N52" s="2" t="str">
        <f>IF(Tabla1[[#This Row],[Aprobación_Veterinaria]]=1,"APROBADO","NO APROBADO")</f>
        <v>NO APROBADO</v>
      </c>
      <c r="O52" t="str">
        <f>IF(Tabla1[[#This Row],[Repite compra?]]=1,"REPITE","NO REPITE")</f>
        <v>NO REPITE</v>
      </c>
      <c r="P52" t="str">
        <f>IF(Tabla1[[#This Row],[rating_segun encuesta a Consumidor]]&lt;5,"Regular",IF(Tabla1[[#This Row],[rating_segun encuesta a Consumidor]]&gt;8,"Excelente","Bueno"))</f>
        <v>Regular</v>
      </c>
    </row>
    <row r="53" spans="1:16" x14ac:dyDescent="0.35">
      <c r="A53" s="1">
        <v>44146</v>
      </c>
      <c r="B53">
        <v>4476</v>
      </c>
      <c r="C53" t="s">
        <v>46</v>
      </c>
      <c r="D53">
        <v>188</v>
      </c>
      <c r="E53">
        <v>70.188000000000002</v>
      </c>
      <c r="F53">
        <v>0</v>
      </c>
      <c r="G53" t="s">
        <v>21</v>
      </c>
      <c r="H53" t="s">
        <v>22</v>
      </c>
      <c r="I53" t="s">
        <v>45</v>
      </c>
      <c r="J53" t="s">
        <v>29</v>
      </c>
      <c r="K53">
        <v>9</v>
      </c>
      <c r="L53">
        <v>1</v>
      </c>
      <c r="M53" s="2">
        <f t="shared" si="0"/>
        <v>13195.344000000001</v>
      </c>
      <c r="N53" s="2" t="str">
        <f>IF(Tabla1[[#This Row],[Aprobación_Veterinaria]]=1,"APROBADO","NO APROBADO")</f>
        <v>NO APROBADO</v>
      </c>
      <c r="O53" t="str">
        <f>IF(Tabla1[[#This Row],[Repite compra?]]=1,"REPITE","NO REPITE")</f>
        <v>REPITE</v>
      </c>
      <c r="P53" t="str">
        <f>IF(Tabla1[[#This Row],[rating_segun encuesta a Consumidor]]&lt;5,"Regular",IF(Tabla1[[#This Row],[rating_segun encuesta a Consumidor]]&gt;8,"Excelente","Bueno"))</f>
        <v>Excelente</v>
      </c>
    </row>
    <row r="54" spans="1:16" x14ac:dyDescent="0.35">
      <c r="A54" s="1">
        <v>43948</v>
      </c>
      <c r="B54">
        <v>4443</v>
      </c>
      <c r="C54" t="s">
        <v>46</v>
      </c>
      <c r="D54">
        <v>225</v>
      </c>
      <c r="E54">
        <v>204.13200000000001</v>
      </c>
      <c r="F54">
        <v>1</v>
      </c>
      <c r="G54" t="s">
        <v>24</v>
      </c>
      <c r="H54" t="s">
        <v>22</v>
      </c>
      <c r="I54" t="s">
        <v>41</v>
      </c>
      <c r="J54" t="s">
        <v>23</v>
      </c>
      <c r="K54">
        <v>1</v>
      </c>
      <c r="L54">
        <v>1</v>
      </c>
      <c r="M54" s="2">
        <f t="shared" si="0"/>
        <v>45929.700000000004</v>
      </c>
      <c r="N54" s="2" t="str">
        <f>IF(Tabla1[[#This Row],[Aprobación_Veterinaria]]=1,"APROBADO","NO APROBADO")</f>
        <v>APROBADO</v>
      </c>
      <c r="O54" t="str">
        <f>IF(Tabla1[[#This Row],[Repite compra?]]=1,"REPITE","NO REPITE")</f>
        <v>REPITE</v>
      </c>
      <c r="P54" t="str">
        <f>IF(Tabla1[[#This Row],[rating_segun encuesta a Consumidor]]&lt;5,"Regular",IF(Tabla1[[#This Row],[rating_segun encuesta a Consumidor]]&gt;8,"Excelente","Bueno"))</f>
        <v>Regular</v>
      </c>
    </row>
    <row r="55" spans="1:16" x14ac:dyDescent="0.35">
      <c r="A55" s="1">
        <v>43832</v>
      </c>
      <c r="B55">
        <v>4451</v>
      </c>
      <c r="C55" t="s">
        <v>43</v>
      </c>
      <c r="D55">
        <v>139</v>
      </c>
      <c r="E55">
        <v>56.664000000000001</v>
      </c>
      <c r="F55">
        <v>0</v>
      </c>
      <c r="G55" t="s">
        <v>27</v>
      </c>
      <c r="H55" t="s">
        <v>22</v>
      </c>
      <c r="I55" t="s">
        <v>45</v>
      </c>
      <c r="J55" t="s">
        <v>23</v>
      </c>
      <c r="K55">
        <v>2</v>
      </c>
      <c r="L55">
        <v>1</v>
      </c>
      <c r="M55" s="2">
        <f t="shared" si="0"/>
        <v>7876.2960000000003</v>
      </c>
      <c r="N55" s="2" t="str">
        <f>IF(Tabla1[[#This Row],[Aprobación_Veterinaria]]=1,"APROBADO","NO APROBADO")</f>
        <v>NO APROBADO</v>
      </c>
      <c r="O55" t="str">
        <f>IF(Tabla1[[#This Row],[Repite compra?]]=1,"REPITE","NO REPITE")</f>
        <v>REPITE</v>
      </c>
      <c r="P55" t="str">
        <f>IF(Tabla1[[#This Row],[rating_segun encuesta a Consumidor]]&lt;5,"Regular",IF(Tabla1[[#This Row],[rating_segun encuesta a Consumidor]]&gt;8,"Excelente","Bueno"))</f>
        <v>Regular</v>
      </c>
    </row>
    <row r="56" spans="1:16" x14ac:dyDescent="0.35">
      <c r="A56" s="1">
        <v>44140</v>
      </c>
      <c r="B56">
        <v>4830</v>
      </c>
      <c r="C56" t="s">
        <v>15</v>
      </c>
      <c r="D56">
        <v>140</v>
      </c>
      <c r="E56">
        <v>82.091999999999999</v>
      </c>
      <c r="F56">
        <v>1</v>
      </c>
      <c r="G56" t="s">
        <v>31</v>
      </c>
      <c r="H56" t="s">
        <v>44</v>
      </c>
      <c r="I56" t="s">
        <v>18</v>
      </c>
      <c r="J56" t="s">
        <v>29</v>
      </c>
      <c r="K56">
        <v>2</v>
      </c>
      <c r="L56">
        <v>1</v>
      </c>
      <c r="M56" s="2">
        <f t="shared" si="0"/>
        <v>11492.88</v>
      </c>
      <c r="N56" s="2" t="str">
        <f>IF(Tabla1[[#This Row],[Aprobación_Veterinaria]]=1,"APROBADO","NO APROBADO")</f>
        <v>APROBADO</v>
      </c>
      <c r="O56" t="str">
        <f>IF(Tabla1[[#This Row],[Repite compra?]]=1,"REPITE","NO REPITE")</f>
        <v>REPITE</v>
      </c>
      <c r="P56" t="str">
        <f>IF(Tabla1[[#This Row],[rating_segun encuesta a Consumidor]]&lt;5,"Regular",IF(Tabla1[[#This Row],[rating_segun encuesta a Consumidor]]&gt;8,"Excelente","Bueno"))</f>
        <v>Regular</v>
      </c>
    </row>
    <row r="57" spans="1:16" x14ac:dyDescent="0.35">
      <c r="A57" s="1">
        <v>43870</v>
      </c>
      <c r="B57">
        <v>4865</v>
      </c>
      <c r="C57" t="s">
        <v>20</v>
      </c>
      <c r="D57">
        <v>223</v>
      </c>
      <c r="E57">
        <v>165.12</v>
      </c>
      <c r="F57">
        <v>1</v>
      </c>
      <c r="G57" t="s">
        <v>33</v>
      </c>
      <c r="H57" t="s">
        <v>44</v>
      </c>
      <c r="I57" t="s">
        <v>41</v>
      </c>
      <c r="J57" t="s">
        <v>23</v>
      </c>
      <c r="K57">
        <v>6</v>
      </c>
      <c r="L57">
        <v>1</v>
      </c>
      <c r="M57" s="2">
        <f t="shared" si="0"/>
        <v>36821.760000000002</v>
      </c>
      <c r="N57" s="2" t="str">
        <f>IF(Tabla1[[#This Row],[Aprobación_Veterinaria]]=1,"APROBADO","NO APROBADO")</f>
        <v>APROBADO</v>
      </c>
      <c r="O57" t="str">
        <f>IF(Tabla1[[#This Row],[Repite compra?]]=1,"REPITE","NO REPITE")</f>
        <v>REPITE</v>
      </c>
      <c r="P57" t="str">
        <f>IF(Tabla1[[#This Row],[rating_segun encuesta a Consumidor]]&lt;5,"Regular",IF(Tabla1[[#This Row],[rating_segun encuesta a Consumidor]]&gt;8,"Excelente","Bueno"))</f>
        <v>Bueno</v>
      </c>
    </row>
    <row r="58" spans="1:16" x14ac:dyDescent="0.35">
      <c r="A58" s="1">
        <v>44058</v>
      </c>
      <c r="B58">
        <v>5001</v>
      </c>
      <c r="C58" t="s">
        <v>15</v>
      </c>
      <c r="D58">
        <v>110</v>
      </c>
      <c r="E58">
        <v>188.352</v>
      </c>
      <c r="F58">
        <v>0</v>
      </c>
      <c r="G58" t="s">
        <v>34</v>
      </c>
      <c r="H58" t="s">
        <v>48</v>
      </c>
      <c r="I58" t="s">
        <v>41</v>
      </c>
      <c r="J58" t="s">
        <v>49</v>
      </c>
      <c r="K58">
        <v>6</v>
      </c>
      <c r="L58">
        <v>0</v>
      </c>
      <c r="M58" s="2">
        <f t="shared" si="0"/>
        <v>20718.72</v>
      </c>
      <c r="N58" s="2" t="str">
        <f>IF(Tabla1[[#This Row],[Aprobación_Veterinaria]]=1,"APROBADO","NO APROBADO")</f>
        <v>NO APROBADO</v>
      </c>
      <c r="O58" t="str">
        <f>IF(Tabla1[[#This Row],[Repite compra?]]=1,"REPITE","NO REPITE")</f>
        <v>NO REPITE</v>
      </c>
      <c r="P58" t="str">
        <f>IF(Tabla1[[#This Row],[rating_segun encuesta a Consumidor]]&lt;5,"Regular",IF(Tabla1[[#This Row],[rating_segun encuesta a Consumidor]]&gt;8,"Excelente","Bueno"))</f>
        <v>Bueno</v>
      </c>
    </row>
    <row r="59" spans="1:16" x14ac:dyDescent="0.35">
      <c r="A59" s="1">
        <v>44051</v>
      </c>
      <c r="B59">
        <v>5048</v>
      </c>
      <c r="C59" t="s">
        <v>20</v>
      </c>
      <c r="D59">
        <v>66</v>
      </c>
      <c r="E59">
        <v>155.86799999999999</v>
      </c>
      <c r="F59">
        <v>0</v>
      </c>
      <c r="G59" t="s">
        <v>36</v>
      </c>
      <c r="H59" t="s">
        <v>17</v>
      </c>
      <c r="I59" t="s">
        <v>18</v>
      </c>
      <c r="J59" t="s">
        <v>19</v>
      </c>
      <c r="K59">
        <v>7</v>
      </c>
      <c r="L59">
        <v>1</v>
      </c>
      <c r="M59" s="2">
        <f t="shared" si="0"/>
        <v>10287.288</v>
      </c>
      <c r="N59" s="2" t="str">
        <f>IF(Tabla1[[#This Row],[Aprobación_Veterinaria]]=1,"APROBADO","NO APROBADO")</f>
        <v>NO APROBADO</v>
      </c>
      <c r="O59" t="str">
        <f>IF(Tabla1[[#This Row],[Repite compra?]]=1,"REPITE","NO REPITE")</f>
        <v>REPITE</v>
      </c>
      <c r="P59" t="str">
        <f>IF(Tabla1[[#This Row],[rating_segun encuesta a Consumidor]]&lt;5,"Regular",IF(Tabla1[[#This Row],[rating_segun encuesta a Consumidor]]&gt;8,"Excelente","Bueno"))</f>
        <v>Bueno</v>
      </c>
    </row>
    <row r="60" spans="1:16" x14ac:dyDescent="0.35">
      <c r="A60" s="1">
        <v>43932</v>
      </c>
      <c r="B60">
        <v>4509</v>
      </c>
      <c r="C60" t="s">
        <v>46</v>
      </c>
      <c r="D60">
        <v>55</v>
      </c>
      <c r="E60">
        <v>158.1</v>
      </c>
      <c r="F60">
        <v>1</v>
      </c>
      <c r="G60" t="s">
        <v>37</v>
      </c>
      <c r="H60" t="s">
        <v>22</v>
      </c>
      <c r="I60" t="s">
        <v>28</v>
      </c>
      <c r="J60" t="s">
        <v>23</v>
      </c>
      <c r="K60">
        <v>3</v>
      </c>
      <c r="L60">
        <v>1</v>
      </c>
      <c r="M60" s="2">
        <f t="shared" si="0"/>
        <v>8695.5</v>
      </c>
      <c r="N60" s="2" t="str">
        <f>IF(Tabla1[[#This Row],[Aprobación_Veterinaria]]=1,"APROBADO","NO APROBADO")</f>
        <v>APROBADO</v>
      </c>
      <c r="O60" t="str">
        <f>IF(Tabla1[[#This Row],[Repite compra?]]=1,"REPITE","NO REPITE")</f>
        <v>REPITE</v>
      </c>
      <c r="P60" t="str">
        <f>IF(Tabla1[[#This Row],[rating_segun encuesta a Consumidor]]&lt;5,"Regular",IF(Tabla1[[#This Row],[rating_segun encuesta a Consumidor]]&gt;8,"Excelente","Bueno"))</f>
        <v>Regular</v>
      </c>
    </row>
    <row r="61" spans="1:16" x14ac:dyDescent="0.35">
      <c r="A61" s="1">
        <v>44103</v>
      </c>
      <c r="B61">
        <v>4441</v>
      </c>
      <c r="C61" t="s">
        <v>26</v>
      </c>
      <c r="D61">
        <v>15</v>
      </c>
      <c r="E61">
        <v>168.36</v>
      </c>
      <c r="F61">
        <v>1</v>
      </c>
      <c r="G61" t="s">
        <v>40</v>
      </c>
      <c r="H61" t="s">
        <v>22</v>
      </c>
      <c r="I61" t="s">
        <v>45</v>
      </c>
      <c r="J61" t="s">
        <v>23</v>
      </c>
      <c r="K61">
        <v>8</v>
      </c>
      <c r="L61">
        <v>1</v>
      </c>
      <c r="M61" s="2">
        <f t="shared" si="0"/>
        <v>2525.4</v>
      </c>
      <c r="N61" s="2" t="str">
        <f>IF(Tabla1[[#This Row],[Aprobación_Veterinaria]]=1,"APROBADO","NO APROBADO")</f>
        <v>APROBADO</v>
      </c>
      <c r="O61" t="str">
        <f>IF(Tabla1[[#This Row],[Repite compra?]]=1,"REPITE","NO REPITE")</f>
        <v>REPITE</v>
      </c>
      <c r="P61" t="str">
        <f>IF(Tabla1[[#This Row],[rating_segun encuesta a Consumidor]]&lt;5,"Regular",IF(Tabla1[[#This Row],[rating_segun encuesta a Consumidor]]&gt;8,"Excelente","Bueno"))</f>
        <v>Bueno</v>
      </c>
    </row>
    <row r="62" spans="1:16" x14ac:dyDescent="0.35">
      <c r="A62" s="1">
        <v>43888</v>
      </c>
      <c r="B62">
        <v>4857</v>
      </c>
      <c r="C62" t="s">
        <v>15</v>
      </c>
      <c r="D62">
        <v>25</v>
      </c>
      <c r="E62">
        <v>162.696</v>
      </c>
      <c r="F62">
        <v>0</v>
      </c>
      <c r="G62" t="s">
        <v>16</v>
      </c>
      <c r="H62" t="s">
        <v>38</v>
      </c>
      <c r="I62" t="s">
        <v>41</v>
      </c>
      <c r="J62" t="s">
        <v>23</v>
      </c>
      <c r="K62">
        <v>1</v>
      </c>
      <c r="L62">
        <v>1</v>
      </c>
      <c r="M62" s="2">
        <f t="shared" si="0"/>
        <v>4067.4</v>
      </c>
      <c r="N62" s="2" t="str">
        <f>IF(Tabla1[[#This Row],[Aprobación_Veterinaria]]=1,"APROBADO","NO APROBADO")</f>
        <v>NO APROBADO</v>
      </c>
      <c r="O62" t="str">
        <f>IF(Tabla1[[#This Row],[Repite compra?]]=1,"REPITE","NO REPITE")</f>
        <v>REPITE</v>
      </c>
      <c r="P62" t="str">
        <f>IF(Tabla1[[#This Row],[rating_segun encuesta a Consumidor]]&lt;5,"Regular",IF(Tabla1[[#This Row],[rating_segun encuesta a Consumidor]]&gt;8,"Excelente","Bueno"))</f>
        <v>Regular</v>
      </c>
    </row>
    <row r="63" spans="1:16" x14ac:dyDescent="0.35">
      <c r="A63" s="1">
        <v>43857</v>
      </c>
      <c r="B63">
        <v>4434</v>
      </c>
      <c r="C63" t="s">
        <v>42</v>
      </c>
      <c r="D63">
        <v>170</v>
      </c>
      <c r="E63">
        <v>101.352</v>
      </c>
      <c r="F63">
        <v>1</v>
      </c>
      <c r="G63" t="s">
        <v>21</v>
      </c>
      <c r="H63" t="s">
        <v>22</v>
      </c>
      <c r="I63" t="s">
        <v>28</v>
      </c>
      <c r="J63" t="s">
        <v>29</v>
      </c>
      <c r="K63">
        <v>2</v>
      </c>
      <c r="L63">
        <v>1</v>
      </c>
      <c r="M63" s="2">
        <f t="shared" si="0"/>
        <v>17229.84</v>
      </c>
      <c r="N63" s="2" t="str">
        <f>IF(Tabla1[[#This Row],[Aprobación_Veterinaria]]=1,"APROBADO","NO APROBADO")</f>
        <v>APROBADO</v>
      </c>
      <c r="O63" t="str">
        <f>IF(Tabla1[[#This Row],[Repite compra?]]=1,"REPITE","NO REPITE")</f>
        <v>REPITE</v>
      </c>
      <c r="P63" t="str">
        <f>IF(Tabla1[[#This Row],[rating_segun encuesta a Consumidor]]&lt;5,"Regular",IF(Tabla1[[#This Row],[rating_segun encuesta a Consumidor]]&gt;8,"Excelente","Bueno"))</f>
        <v>Regular</v>
      </c>
    </row>
    <row r="64" spans="1:16" x14ac:dyDescent="0.35">
      <c r="A64" s="1">
        <v>44168</v>
      </c>
      <c r="B64">
        <v>4531</v>
      </c>
      <c r="C64" t="s">
        <v>46</v>
      </c>
      <c r="D64">
        <v>88</v>
      </c>
      <c r="E64">
        <v>73.944000000000003</v>
      </c>
      <c r="F64">
        <v>1</v>
      </c>
      <c r="G64" t="s">
        <v>24</v>
      </c>
      <c r="H64" t="s">
        <v>22</v>
      </c>
      <c r="I64" t="s">
        <v>45</v>
      </c>
      <c r="J64" t="s">
        <v>23</v>
      </c>
      <c r="K64">
        <v>7</v>
      </c>
      <c r="L64">
        <v>1</v>
      </c>
      <c r="M64" s="2">
        <f t="shared" si="0"/>
        <v>6507.0720000000001</v>
      </c>
      <c r="N64" s="2" t="str">
        <f>IF(Tabla1[[#This Row],[Aprobación_Veterinaria]]=1,"APROBADO","NO APROBADO")</f>
        <v>APROBADO</v>
      </c>
      <c r="O64" t="str">
        <f>IF(Tabla1[[#This Row],[Repite compra?]]=1,"REPITE","NO REPITE")</f>
        <v>REPITE</v>
      </c>
      <c r="P64" t="str">
        <f>IF(Tabla1[[#This Row],[rating_segun encuesta a Consumidor]]&lt;5,"Regular",IF(Tabla1[[#This Row],[rating_segun encuesta a Consumidor]]&gt;8,"Excelente","Bueno"))</f>
        <v>Bueno</v>
      </c>
    </row>
    <row r="65" spans="1:16" x14ac:dyDescent="0.35">
      <c r="A65" s="1">
        <v>44007</v>
      </c>
      <c r="B65">
        <v>5049</v>
      </c>
      <c r="C65" t="s">
        <v>15</v>
      </c>
      <c r="D65">
        <v>74</v>
      </c>
      <c r="E65">
        <v>164.66400000000002</v>
      </c>
      <c r="F65">
        <v>0</v>
      </c>
      <c r="G65" t="s">
        <v>27</v>
      </c>
      <c r="H65" t="s">
        <v>52</v>
      </c>
      <c r="I65" t="s">
        <v>41</v>
      </c>
      <c r="J65" t="s">
        <v>49</v>
      </c>
      <c r="K65">
        <v>7</v>
      </c>
      <c r="L65">
        <v>1</v>
      </c>
      <c r="M65" s="2">
        <f t="shared" si="0"/>
        <v>12185.136</v>
      </c>
      <c r="N65" s="2" t="str">
        <f>IF(Tabla1[[#This Row],[Aprobación_Veterinaria]]=1,"APROBADO","NO APROBADO")</f>
        <v>NO APROBADO</v>
      </c>
      <c r="O65" t="str">
        <f>IF(Tabla1[[#This Row],[Repite compra?]]=1,"REPITE","NO REPITE")</f>
        <v>REPITE</v>
      </c>
      <c r="P65" t="str">
        <f>IF(Tabla1[[#This Row],[rating_segun encuesta a Consumidor]]&lt;5,"Regular",IF(Tabla1[[#This Row],[rating_segun encuesta a Consumidor]]&gt;8,"Excelente","Bueno"))</f>
        <v>Bueno</v>
      </c>
    </row>
    <row r="66" spans="1:16" x14ac:dyDescent="0.35">
      <c r="A66" s="1">
        <v>44101</v>
      </c>
      <c r="B66">
        <v>4818</v>
      </c>
      <c r="C66" t="s">
        <v>15</v>
      </c>
      <c r="D66">
        <v>30</v>
      </c>
      <c r="E66">
        <v>202.78800000000001</v>
      </c>
      <c r="F66">
        <v>1</v>
      </c>
      <c r="G66" t="s">
        <v>31</v>
      </c>
      <c r="H66" t="s">
        <v>50</v>
      </c>
      <c r="I66" t="s">
        <v>18</v>
      </c>
      <c r="J66" t="s">
        <v>29</v>
      </c>
      <c r="K66">
        <v>2</v>
      </c>
      <c r="L66">
        <v>1</v>
      </c>
      <c r="M66" s="2">
        <f t="shared" ref="M66:M129" si="1">D66*E66</f>
        <v>6083.64</v>
      </c>
      <c r="N66" s="2" t="str">
        <f>IF(Tabla1[[#This Row],[Aprobación_Veterinaria]]=1,"APROBADO","NO APROBADO")</f>
        <v>APROBADO</v>
      </c>
      <c r="O66" t="str">
        <f>IF(Tabla1[[#This Row],[Repite compra?]]=1,"REPITE","NO REPITE")</f>
        <v>REPITE</v>
      </c>
      <c r="P66" t="str">
        <f>IF(Tabla1[[#This Row],[rating_segun encuesta a Consumidor]]&lt;5,"Regular",IF(Tabla1[[#This Row],[rating_segun encuesta a Consumidor]]&gt;8,"Excelente","Bueno"))</f>
        <v>Regular</v>
      </c>
    </row>
    <row r="67" spans="1:16" x14ac:dyDescent="0.35">
      <c r="A67" s="1">
        <v>44062</v>
      </c>
      <c r="B67">
        <v>4258</v>
      </c>
      <c r="C67" t="s">
        <v>42</v>
      </c>
      <c r="D67">
        <v>202</v>
      </c>
      <c r="E67">
        <v>169.32</v>
      </c>
      <c r="F67">
        <v>0</v>
      </c>
      <c r="G67" t="s">
        <v>33</v>
      </c>
      <c r="H67" t="s">
        <v>22</v>
      </c>
      <c r="I67" t="s">
        <v>41</v>
      </c>
      <c r="J67" t="s">
        <v>53</v>
      </c>
      <c r="K67">
        <v>2</v>
      </c>
      <c r="L67">
        <v>0</v>
      </c>
      <c r="M67" s="2">
        <f t="shared" si="1"/>
        <v>34202.639999999999</v>
      </c>
      <c r="N67" s="2" t="str">
        <f>IF(Tabla1[[#This Row],[Aprobación_Veterinaria]]=1,"APROBADO","NO APROBADO")</f>
        <v>NO APROBADO</v>
      </c>
      <c r="O67" t="str">
        <f>IF(Tabla1[[#This Row],[Repite compra?]]=1,"REPITE","NO REPITE")</f>
        <v>NO REPITE</v>
      </c>
      <c r="P67" t="str">
        <f>IF(Tabla1[[#This Row],[rating_segun encuesta a Consumidor]]&lt;5,"Regular",IF(Tabla1[[#This Row],[rating_segun encuesta a Consumidor]]&gt;8,"Excelente","Bueno"))</f>
        <v>Regular</v>
      </c>
    </row>
    <row r="68" spans="1:16" x14ac:dyDescent="0.35">
      <c r="A68" s="1">
        <v>44160</v>
      </c>
      <c r="B68">
        <v>4426</v>
      </c>
      <c r="C68" t="s">
        <v>30</v>
      </c>
      <c r="D68">
        <v>228</v>
      </c>
      <c r="E68">
        <v>222.84</v>
      </c>
      <c r="F68">
        <v>1</v>
      </c>
      <c r="G68" t="s">
        <v>34</v>
      </c>
      <c r="H68" t="s">
        <v>22</v>
      </c>
      <c r="I68" t="s">
        <v>45</v>
      </c>
      <c r="J68" t="s">
        <v>29</v>
      </c>
      <c r="K68">
        <v>8</v>
      </c>
      <c r="L68">
        <v>0</v>
      </c>
      <c r="M68" s="2">
        <f t="shared" si="1"/>
        <v>50807.520000000004</v>
      </c>
      <c r="N68" s="2" t="str">
        <f>IF(Tabla1[[#This Row],[Aprobación_Veterinaria]]=1,"APROBADO","NO APROBADO")</f>
        <v>APROBADO</v>
      </c>
      <c r="O68" t="str">
        <f>IF(Tabla1[[#This Row],[Repite compra?]]=1,"REPITE","NO REPITE")</f>
        <v>NO REPITE</v>
      </c>
      <c r="P68" t="str">
        <f>IF(Tabla1[[#This Row],[rating_segun encuesta a Consumidor]]&lt;5,"Regular",IF(Tabla1[[#This Row],[rating_segun encuesta a Consumidor]]&gt;8,"Excelente","Bueno"))</f>
        <v>Bueno</v>
      </c>
    </row>
    <row r="69" spans="1:16" x14ac:dyDescent="0.35">
      <c r="A69" s="1">
        <v>44024</v>
      </c>
      <c r="B69">
        <v>4599</v>
      </c>
      <c r="C69" t="s">
        <v>42</v>
      </c>
      <c r="D69">
        <v>230</v>
      </c>
      <c r="E69">
        <v>69.647999999999996</v>
      </c>
      <c r="F69">
        <v>1</v>
      </c>
      <c r="G69" t="s">
        <v>36</v>
      </c>
      <c r="H69" t="s">
        <v>22</v>
      </c>
      <c r="I69" t="s">
        <v>28</v>
      </c>
      <c r="J69" t="s">
        <v>23</v>
      </c>
      <c r="K69">
        <v>10</v>
      </c>
      <c r="L69">
        <v>1</v>
      </c>
      <c r="M69" s="2">
        <f t="shared" si="1"/>
        <v>16019.039999999999</v>
      </c>
      <c r="N69" s="2" t="str">
        <f>IF(Tabla1[[#This Row],[Aprobación_Veterinaria]]=1,"APROBADO","NO APROBADO")</f>
        <v>APROBADO</v>
      </c>
      <c r="O69" t="str">
        <f>IF(Tabla1[[#This Row],[Repite compra?]]=1,"REPITE","NO REPITE")</f>
        <v>REPITE</v>
      </c>
      <c r="P69" t="str">
        <f>IF(Tabla1[[#This Row],[rating_segun encuesta a Consumidor]]&lt;5,"Regular",IF(Tabla1[[#This Row],[rating_segun encuesta a Consumidor]]&gt;8,"Excelente","Bueno"))</f>
        <v>Excelente</v>
      </c>
    </row>
    <row r="70" spans="1:16" x14ac:dyDescent="0.35">
      <c r="A70" s="1">
        <v>43958</v>
      </c>
      <c r="B70">
        <v>4750</v>
      </c>
      <c r="C70" t="s">
        <v>39</v>
      </c>
      <c r="D70">
        <v>111</v>
      </c>
      <c r="E70">
        <v>92.76</v>
      </c>
      <c r="F70">
        <v>0</v>
      </c>
      <c r="G70" t="s">
        <v>37</v>
      </c>
      <c r="H70" t="s">
        <v>44</v>
      </c>
      <c r="I70" t="s">
        <v>18</v>
      </c>
      <c r="J70" t="s">
        <v>29</v>
      </c>
      <c r="K70">
        <v>7</v>
      </c>
      <c r="L70">
        <v>1</v>
      </c>
      <c r="M70" s="2">
        <f t="shared" si="1"/>
        <v>10296.36</v>
      </c>
      <c r="N70" s="2" t="str">
        <f>IF(Tabla1[[#This Row],[Aprobación_Veterinaria]]=1,"APROBADO","NO APROBADO")</f>
        <v>NO APROBADO</v>
      </c>
      <c r="O70" t="str">
        <f>IF(Tabla1[[#This Row],[Repite compra?]]=1,"REPITE","NO REPITE")</f>
        <v>REPITE</v>
      </c>
      <c r="P70" t="str">
        <f>IF(Tabla1[[#This Row],[rating_segun encuesta a Consumidor]]&lt;5,"Regular",IF(Tabla1[[#This Row],[rating_segun encuesta a Consumidor]]&gt;8,"Excelente","Bueno"))</f>
        <v>Bueno</v>
      </c>
    </row>
    <row r="71" spans="1:16" x14ac:dyDescent="0.35">
      <c r="A71" s="1">
        <v>43964</v>
      </c>
      <c r="B71">
        <v>4261</v>
      </c>
      <c r="C71" t="s">
        <v>30</v>
      </c>
      <c r="D71">
        <v>25</v>
      </c>
      <c r="E71">
        <v>105.288</v>
      </c>
      <c r="F71">
        <v>1</v>
      </c>
      <c r="G71" t="s">
        <v>40</v>
      </c>
      <c r="H71" t="s">
        <v>22</v>
      </c>
      <c r="I71" t="s">
        <v>45</v>
      </c>
      <c r="J71" t="s">
        <v>25</v>
      </c>
      <c r="K71">
        <v>1</v>
      </c>
      <c r="L71">
        <v>1</v>
      </c>
      <c r="M71" s="2">
        <f t="shared" si="1"/>
        <v>2632.2</v>
      </c>
      <c r="N71" s="2" t="str">
        <f>IF(Tabla1[[#This Row],[Aprobación_Veterinaria]]=1,"APROBADO","NO APROBADO")</f>
        <v>APROBADO</v>
      </c>
      <c r="O71" t="str">
        <f>IF(Tabla1[[#This Row],[Repite compra?]]=1,"REPITE","NO REPITE")</f>
        <v>REPITE</v>
      </c>
      <c r="P71" t="str">
        <f>IF(Tabla1[[#This Row],[rating_segun encuesta a Consumidor]]&lt;5,"Regular",IF(Tabla1[[#This Row],[rating_segun encuesta a Consumidor]]&gt;8,"Excelente","Bueno"))</f>
        <v>Regular</v>
      </c>
    </row>
    <row r="72" spans="1:16" x14ac:dyDescent="0.35">
      <c r="A72" s="1">
        <v>44090</v>
      </c>
      <c r="B72">
        <v>4500</v>
      </c>
      <c r="C72" t="s">
        <v>42</v>
      </c>
      <c r="D72">
        <v>177</v>
      </c>
      <c r="E72">
        <v>4.3920000000000003</v>
      </c>
      <c r="F72">
        <v>0</v>
      </c>
      <c r="G72" t="s">
        <v>16</v>
      </c>
      <c r="H72" t="s">
        <v>22</v>
      </c>
      <c r="I72" t="s">
        <v>35</v>
      </c>
      <c r="J72" t="s">
        <v>29</v>
      </c>
      <c r="K72">
        <v>8</v>
      </c>
      <c r="L72">
        <v>1</v>
      </c>
      <c r="M72" s="2">
        <f t="shared" si="1"/>
        <v>777.38400000000001</v>
      </c>
      <c r="N72" s="2" t="str">
        <f>IF(Tabla1[[#This Row],[Aprobación_Veterinaria]]=1,"APROBADO","NO APROBADO")</f>
        <v>NO APROBADO</v>
      </c>
      <c r="O72" t="str">
        <f>IF(Tabla1[[#This Row],[Repite compra?]]=1,"REPITE","NO REPITE")</f>
        <v>REPITE</v>
      </c>
      <c r="P72" t="str">
        <f>IF(Tabla1[[#This Row],[rating_segun encuesta a Consumidor]]&lt;5,"Regular",IF(Tabla1[[#This Row],[rating_segun encuesta a Consumidor]]&gt;8,"Excelente","Bueno"))</f>
        <v>Bueno</v>
      </c>
    </row>
    <row r="73" spans="1:16" x14ac:dyDescent="0.35">
      <c r="A73" s="1">
        <v>43871</v>
      </c>
      <c r="B73">
        <v>4988</v>
      </c>
      <c r="C73" t="s">
        <v>20</v>
      </c>
      <c r="D73">
        <v>65</v>
      </c>
      <c r="E73">
        <v>198.744</v>
      </c>
      <c r="F73">
        <v>0</v>
      </c>
      <c r="G73" t="s">
        <v>21</v>
      </c>
      <c r="H73" t="s">
        <v>50</v>
      </c>
      <c r="I73" t="s">
        <v>18</v>
      </c>
      <c r="J73" t="s">
        <v>19</v>
      </c>
      <c r="K73">
        <v>6</v>
      </c>
      <c r="L73">
        <v>0</v>
      </c>
      <c r="M73" s="2">
        <f t="shared" si="1"/>
        <v>12918.36</v>
      </c>
      <c r="N73" s="2" t="str">
        <f>IF(Tabla1[[#This Row],[Aprobación_Veterinaria]]=1,"APROBADO","NO APROBADO")</f>
        <v>NO APROBADO</v>
      </c>
      <c r="O73" t="str">
        <f>IF(Tabla1[[#This Row],[Repite compra?]]=1,"REPITE","NO REPITE")</f>
        <v>NO REPITE</v>
      </c>
      <c r="P73" t="str">
        <f>IF(Tabla1[[#This Row],[rating_segun encuesta a Consumidor]]&lt;5,"Regular",IF(Tabla1[[#This Row],[rating_segun encuesta a Consumidor]]&gt;8,"Excelente","Bueno"))</f>
        <v>Bueno</v>
      </c>
    </row>
    <row r="74" spans="1:16" x14ac:dyDescent="0.35">
      <c r="A74" s="1">
        <v>44184</v>
      </c>
      <c r="B74">
        <v>4482</v>
      </c>
      <c r="C74" t="s">
        <v>51</v>
      </c>
      <c r="D74">
        <v>210</v>
      </c>
      <c r="E74">
        <v>24.623999999999999</v>
      </c>
      <c r="F74">
        <v>0</v>
      </c>
      <c r="G74" t="s">
        <v>24</v>
      </c>
      <c r="H74" t="s">
        <v>22</v>
      </c>
      <c r="I74" t="s">
        <v>18</v>
      </c>
      <c r="J74" t="s">
        <v>29</v>
      </c>
      <c r="K74">
        <v>4</v>
      </c>
      <c r="L74">
        <v>1</v>
      </c>
      <c r="M74" s="2">
        <f t="shared" si="1"/>
        <v>5171.04</v>
      </c>
      <c r="N74" s="2" t="str">
        <f>IF(Tabla1[[#This Row],[Aprobación_Veterinaria]]=1,"APROBADO","NO APROBADO")</f>
        <v>NO APROBADO</v>
      </c>
      <c r="O74" t="str">
        <f>IF(Tabla1[[#This Row],[Repite compra?]]=1,"REPITE","NO REPITE")</f>
        <v>REPITE</v>
      </c>
      <c r="P74" t="str">
        <f>IF(Tabla1[[#This Row],[rating_segun encuesta a Consumidor]]&lt;5,"Regular",IF(Tabla1[[#This Row],[rating_segun encuesta a Consumidor]]&gt;8,"Excelente","Bueno"))</f>
        <v>Regular</v>
      </c>
    </row>
    <row r="75" spans="1:16" x14ac:dyDescent="0.35">
      <c r="A75" s="1">
        <v>44031</v>
      </c>
      <c r="B75">
        <v>4565</v>
      </c>
      <c r="C75" t="s">
        <v>32</v>
      </c>
      <c r="D75">
        <v>85</v>
      </c>
      <c r="E75">
        <v>26.268000000000001</v>
      </c>
      <c r="F75">
        <v>1</v>
      </c>
      <c r="G75" t="s">
        <v>27</v>
      </c>
      <c r="H75" t="s">
        <v>22</v>
      </c>
      <c r="I75" t="s">
        <v>35</v>
      </c>
      <c r="J75" t="s">
        <v>23</v>
      </c>
      <c r="K75">
        <v>10</v>
      </c>
      <c r="L75">
        <v>1</v>
      </c>
      <c r="M75" s="2">
        <f t="shared" si="1"/>
        <v>2232.7800000000002</v>
      </c>
      <c r="N75" s="2" t="str">
        <f>IF(Tabla1[[#This Row],[Aprobación_Veterinaria]]=1,"APROBADO","NO APROBADO")</f>
        <v>APROBADO</v>
      </c>
      <c r="O75" t="str">
        <f>IF(Tabla1[[#This Row],[Repite compra?]]=1,"REPITE","NO REPITE")</f>
        <v>REPITE</v>
      </c>
      <c r="P75" t="str">
        <f>IF(Tabla1[[#This Row],[rating_segun encuesta a Consumidor]]&lt;5,"Regular",IF(Tabla1[[#This Row],[rating_segun encuesta a Consumidor]]&gt;8,"Excelente","Bueno"))</f>
        <v>Excelente</v>
      </c>
    </row>
    <row r="76" spans="1:16" x14ac:dyDescent="0.35">
      <c r="A76" s="1">
        <v>43849</v>
      </c>
      <c r="B76">
        <v>4284</v>
      </c>
      <c r="C76" t="s">
        <v>51</v>
      </c>
      <c r="D76">
        <v>202</v>
      </c>
      <c r="E76">
        <v>187.584</v>
      </c>
      <c r="F76">
        <v>1</v>
      </c>
      <c r="G76" t="s">
        <v>31</v>
      </c>
      <c r="H76" t="s">
        <v>22</v>
      </c>
      <c r="I76" t="s">
        <v>28</v>
      </c>
      <c r="J76" t="s">
        <v>49</v>
      </c>
      <c r="K76">
        <v>4</v>
      </c>
      <c r="L76">
        <v>0</v>
      </c>
      <c r="M76" s="2">
        <f t="shared" si="1"/>
        <v>37891.968000000001</v>
      </c>
      <c r="N76" s="2" t="str">
        <f>IF(Tabla1[[#This Row],[Aprobación_Veterinaria]]=1,"APROBADO","NO APROBADO")</f>
        <v>APROBADO</v>
      </c>
      <c r="O76" t="str">
        <f>IF(Tabla1[[#This Row],[Repite compra?]]=1,"REPITE","NO REPITE")</f>
        <v>NO REPITE</v>
      </c>
      <c r="P76" t="str">
        <f>IF(Tabla1[[#This Row],[rating_segun encuesta a Consumidor]]&lt;5,"Regular",IF(Tabla1[[#This Row],[rating_segun encuesta a Consumidor]]&gt;8,"Excelente","Bueno"))</f>
        <v>Regular</v>
      </c>
    </row>
    <row r="77" spans="1:16" x14ac:dyDescent="0.35">
      <c r="A77" s="1">
        <v>43929</v>
      </c>
      <c r="B77">
        <v>4428</v>
      </c>
      <c r="C77" t="s">
        <v>47</v>
      </c>
      <c r="D77">
        <v>140</v>
      </c>
      <c r="E77">
        <v>79.536000000000001</v>
      </c>
      <c r="F77">
        <v>0</v>
      </c>
      <c r="G77" t="s">
        <v>33</v>
      </c>
      <c r="H77" t="s">
        <v>22</v>
      </c>
      <c r="I77" t="s">
        <v>41</v>
      </c>
      <c r="J77" t="s">
        <v>29</v>
      </c>
      <c r="K77">
        <v>8</v>
      </c>
      <c r="L77">
        <v>0</v>
      </c>
      <c r="M77" s="2">
        <f t="shared" si="1"/>
        <v>11135.04</v>
      </c>
      <c r="N77" s="2" t="str">
        <f>IF(Tabla1[[#This Row],[Aprobación_Veterinaria]]=1,"APROBADO","NO APROBADO")</f>
        <v>NO APROBADO</v>
      </c>
      <c r="O77" t="str">
        <f>IF(Tabla1[[#This Row],[Repite compra?]]=1,"REPITE","NO REPITE")</f>
        <v>NO REPITE</v>
      </c>
      <c r="P77" t="str">
        <f>IF(Tabla1[[#This Row],[rating_segun encuesta a Consumidor]]&lt;5,"Regular",IF(Tabla1[[#This Row],[rating_segun encuesta a Consumidor]]&gt;8,"Excelente","Bueno"))</f>
        <v>Bueno</v>
      </c>
    </row>
    <row r="78" spans="1:16" x14ac:dyDescent="0.35">
      <c r="A78" s="1">
        <v>44007</v>
      </c>
      <c r="B78">
        <v>4215</v>
      </c>
      <c r="C78" t="s">
        <v>20</v>
      </c>
      <c r="D78">
        <v>178</v>
      </c>
      <c r="E78">
        <v>144.30000000000001</v>
      </c>
      <c r="F78">
        <v>0</v>
      </c>
      <c r="G78" t="s">
        <v>34</v>
      </c>
      <c r="H78" t="s">
        <v>22</v>
      </c>
      <c r="I78" t="s">
        <v>35</v>
      </c>
      <c r="J78" t="s">
        <v>23</v>
      </c>
      <c r="K78">
        <v>3</v>
      </c>
      <c r="L78">
        <v>1</v>
      </c>
      <c r="M78" s="2">
        <f t="shared" si="1"/>
        <v>25685.4</v>
      </c>
      <c r="N78" s="2" t="str">
        <f>IF(Tabla1[[#This Row],[Aprobación_Veterinaria]]=1,"APROBADO","NO APROBADO")</f>
        <v>NO APROBADO</v>
      </c>
      <c r="O78" t="str">
        <f>IF(Tabla1[[#This Row],[Repite compra?]]=1,"REPITE","NO REPITE")</f>
        <v>REPITE</v>
      </c>
      <c r="P78" t="str">
        <f>IF(Tabla1[[#This Row],[rating_segun encuesta a Consumidor]]&lt;5,"Regular",IF(Tabla1[[#This Row],[rating_segun encuesta a Consumidor]]&gt;8,"Excelente","Bueno"))</f>
        <v>Regular</v>
      </c>
    </row>
    <row r="79" spans="1:16" x14ac:dyDescent="0.35">
      <c r="A79" s="1">
        <v>44106</v>
      </c>
      <c r="B79">
        <v>4216</v>
      </c>
      <c r="C79" t="s">
        <v>39</v>
      </c>
      <c r="D79">
        <v>151</v>
      </c>
      <c r="E79">
        <v>148.93200000000002</v>
      </c>
      <c r="F79">
        <v>1</v>
      </c>
      <c r="G79" t="s">
        <v>36</v>
      </c>
      <c r="H79" t="s">
        <v>22</v>
      </c>
      <c r="I79" t="s">
        <v>45</v>
      </c>
      <c r="J79" t="s">
        <v>53</v>
      </c>
      <c r="K79">
        <v>8</v>
      </c>
      <c r="L79">
        <v>0</v>
      </c>
      <c r="M79" s="2">
        <f t="shared" si="1"/>
        <v>22488.732000000004</v>
      </c>
      <c r="N79" s="2" t="str">
        <f>IF(Tabla1[[#This Row],[Aprobación_Veterinaria]]=1,"APROBADO","NO APROBADO")</f>
        <v>APROBADO</v>
      </c>
      <c r="O79" t="str">
        <f>IF(Tabla1[[#This Row],[Repite compra?]]=1,"REPITE","NO REPITE")</f>
        <v>NO REPITE</v>
      </c>
      <c r="P79" t="str">
        <f>IF(Tabla1[[#This Row],[rating_segun encuesta a Consumidor]]&lt;5,"Regular",IF(Tabla1[[#This Row],[rating_segun encuesta a Consumidor]]&gt;8,"Excelente","Bueno"))</f>
        <v>Bueno</v>
      </c>
    </row>
    <row r="80" spans="1:16" x14ac:dyDescent="0.35">
      <c r="A80" s="1">
        <v>43963</v>
      </c>
      <c r="B80">
        <v>4995</v>
      </c>
      <c r="C80" t="s">
        <v>15</v>
      </c>
      <c r="D80">
        <v>25</v>
      </c>
      <c r="E80">
        <v>85.944000000000003</v>
      </c>
      <c r="F80">
        <v>0</v>
      </c>
      <c r="G80" t="s">
        <v>37</v>
      </c>
      <c r="H80" t="s">
        <v>44</v>
      </c>
      <c r="I80" t="s">
        <v>41</v>
      </c>
      <c r="J80" t="s">
        <v>49</v>
      </c>
      <c r="K80">
        <v>6</v>
      </c>
      <c r="L80">
        <v>0</v>
      </c>
      <c r="M80" s="2">
        <f t="shared" si="1"/>
        <v>2148.6</v>
      </c>
      <c r="N80" s="2" t="str">
        <f>IF(Tabla1[[#This Row],[Aprobación_Veterinaria]]=1,"APROBADO","NO APROBADO")</f>
        <v>NO APROBADO</v>
      </c>
      <c r="O80" t="str">
        <f>IF(Tabla1[[#This Row],[Repite compra?]]=1,"REPITE","NO REPITE")</f>
        <v>NO REPITE</v>
      </c>
      <c r="P80" t="str">
        <f>IF(Tabla1[[#This Row],[rating_segun encuesta a Consumidor]]&lt;5,"Regular",IF(Tabla1[[#This Row],[rating_segun encuesta a Consumidor]]&gt;8,"Excelente","Bueno"))</f>
        <v>Bueno</v>
      </c>
    </row>
    <row r="81" spans="1:16" x14ac:dyDescent="0.35">
      <c r="A81" s="1">
        <v>44108</v>
      </c>
      <c r="B81">
        <v>4880</v>
      </c>
      <c r="C81" t="s">
        <v>20</v>
      </c>
      <c r="D81">
        <v>11</v>
      </c>
      <c r="E81">
        <v>40.488</v>
      </c>
      <c r="F81">
        <v>0</v>
      </c>
      <c r="G81" t="s">
        <v>40</v>
      </c>
      <c r="H81" t="s">
        <v>44</v>
      </c>
      <c r="I81" t="s">
        <v>18</v>
      </c>
      <c r="J81" t="s">
        <v>29</v>
      </c>
      <c r="K81">
        <v>6</v>
      </c>
      <c r="L81">
        <v>0</v>
      </c>
      <c r="M81" s="2">
        <f t="shared" si="1"/>
        <v>445.36799999999999</v>
      </c>
      <c r="N81" s="2" t="str">
        <f>IF(Tabla1[[#This Row],[Aprobación_Veterinaria]]=1,"APROBADO","NO APROBADO")</f>
        <v>NO APROBADO</v>
      </c>
      <c r="O81" t="str">
        <f>IF(Tabla1[[#This Row],[Repite compra?]]=1,"REPITE","NO REPITE")</f>
        <v>NO REPITE</v>
      </c>
      <c r="P81" t="str">
        <f>IF(Tabla1[[#This Row],[rating_segun encuesta a Consumidor]]&lt;5,"Regular",IF(Tabla1[[#This Row],[rating_segun encuesta a Consumidor]]&gt;8,"Excelente","Bueno"))</f>
        <v>Bueno</v>
      </c>
    </row>
    <row r="82" spans="1:16" x14ac:dyDescent="0.35">
      <c r="A82" s="1">
        <v>44115</v>
      </c>
      <c r="B82">
        <v>4253</v>
      </c>
      <c r="C82" t="s">
        <v>43</v>
      </c>
      <c r="D82">
        <v>71</v>
      </c>
      <c r="E82">
        <v>199.416</v>
      </c>
      <c r="F82">
        <v>1</v>
      </c>
      <c r="G82" t="s">
        <v>16</v>
      </c>
      <c r="H82" t="s">
        <v>22</v>
      </c>
      <c r="I82" t="s">
        <v>41</v>
      </c>
      <c r="J82" t="s">
        <v>19</v>
      </c>
      <c r="K82">
        <v>6</v>
      </c>
      <c r="L82">
        <v>1</v>
      </c>
      <c r="M82" s="2">
        <f t="shared" si="1"/>
        <v>14158.536</v>
      </c>
      <c r="N82" s="2" t="str">
        <f>IF(Tabla1[[#This Row],[Aprobación_Veterinaria]]=1,"APROBADO","NO APROBADO")</f>
        <v>APROBADO</v>
      </c>
      <c r="O82" t="str">
        <f>IF(Tabla1[[#This Row],[Repite compra?]]=1,"REPITE","NO REPITE")</f>
        <v>REPITE</v>
      </c>
      <c r="P82" t="str">
        <f>IF(Tabla1[[#This Row],[rating_segun encuesta a Consumidor]]&lt;5,"Regular",IF(Tabla1[[#This Row],[rating_segun encuesta a Consumidor]]&gt;8,"Excelente","Bueno"))</f>
        <v>Bueno</v>
      </c>
    </row>
    <row r="83" spans="1:16" x14ac:dyDescent="0.35">
      <c r="A83" s="1">
        <v>43947</v>
      </c>
      <c r="B83">
        <v>4373</v>
      </c>
      <c r="C83" t="s">
        <v>47</v>
      </c>
      <c r="D83">
        <v>138</v>
      </c>
      <c r="E83">
        <v>221.136</v>
      </c>
      <c r="F83">
        <v>1</v>
      </c>
      <c r="G83" t="s">
        <v>21</v>
      </c>
      <c r="H83" t="s">
        <v>22</v>
      </c>
      <c r="I83" t="s">
        <v>41</v>
      </c>
      <c r="J83" t="s">
        <v>23</v>
      </c>
      <c r="K83">
        <v>5</v>
      </c>
      <c r="L83">
        <v>1</v>
      </c>
      <c r="M83" s="2">
        <f t="shared" si="1"/>
        <v>30516.768</v>
      </c>
      <c r="N83" s="2" t="str">
        <f>IF(Tabla1[[#This Row],[Aprobación_Veterinaria]]=1,"APROBADO","NO APROBADO")</f>
        <v>APROBADO</v>
      </c>
      <c r="O83" t="str">
        <f>IF(Tabla1[[#This Row],[Repite compra?]]=1,"REPITE","NO REPITE")</f>
        <v>REPITE</v>
      </c>
      <c r="P83" t="str">
        <f>IF(Tabla1[[#This Row],[rating_segun encuesta a Consumidor]]&lt;5,"Regular",IF(Tabla1[[#This Row],[rating_segun encuesta a Consumidor]]&gt;8,"Excelente","Bueno"))</f>
        <v>Bueno</v>
      </c>
    </row>
    <row r="84" spans="1:16" x14ac:dyDescent="0.35">
      <c r="A84" s="1">
        <v>44179</v>
      </c>
      <c r="B84">
        <v>4952</v>
      </c>
      <c r="C84" t="s">
        <v>20</v>
      </c>
      <c r="D84">
        <v>20</v>
      </c>
      <c r="E84">
        <v>98.867999999999995</v>
      </c>
      <c r="F84">
        <v>1</v>
      </c>
      <c r="G84" t="s">
        <v>24</v>
      </c>
      <c r="H84" t="s">
        <v>38</v>
      </c>
      <c r="I84" t="s">
        <v>18</v>
      </c>
      <c r="J84" t="s">
        <v>29</v>
      </c>
      <c r="K84">
        <v>6</v>
      </c>
      <c r="L84">
        <v>0</v>
      </c>
      <c r="M84" s="2">
        <f t="shared" si="1"/>
        <v>1977.36</v>
      </c>
      <c r="N84" s="2" t="str">
        <f>IF(Tabla1[[#This Row],[Aprobación_Veterinaria]]=1,"APROBADO","NO APROBADO")</f>
        <v>APROBADO</v>
      </c>
      <c r="O84" t="str">
        <f>IF(Tabla1[[#This Row],[Repite compra?]]=1,"REPITE","NO REPITE")</f>
        <v>NO REPITE</v>
      </c>
      <c r="P84" t="str">
        <f>IF(Tabla1[[#This Row],[rating_segun encuesta a Consumidor]]&lt;5,"Regular",IF(Tabla1[[#This Row],[rating_segun encuesta a Consumidor]]&gt;8,"Excelente","Bueno"))</f>
        <v>Bueno</v>
      </c>
    </row>
    <row r="85" spans="1:16" x14ac:dyDescent="0.35">
      <c r="A85" s="1">
        <v>44151</v>
      </c>
      <c r="B85">
        <v>4280</v>
      </c>
      <c r="C85" t="s">
        <v>42</v>
      </c>
      <c r="D85">
        <v>64</v>
      </c>
      <c r="E85">
        <v>31.032</v>
      </c>
      <c r="F85">
        <v>0</v>
      </c>
      <c r="G85" t="s">
        <v>27</v>
      </c>
      <c r="H85" t="s">
        <v>22</v>
      </c>
      <c r="I85" t="s">
        <v>35</v>
      </c>
      <c r="J85" t="s">
        <v>29</v>
      </c>
      <c r="K85">
        <v>7</v>
      </c>
      <c r="L85">
        <v>0</v>
      </c>
      <c r="M85" s="2">
        <f t="shared" si="1"/>
        <v>1986.048</v>
      </c>
      <c r="N85" s="2" t="str">
        <f>IF(Tabla1[[#This Row],[Aprobación_Veterinaria]]=1,"APROBADO","NO APROBADO")</f>
        <v>NO APROBADO</v>
      </c>
      <c r="O85" t="str">
        <f>IF(Tabla1[[#This Row],[Repite compra?]]=1,"REPITE","NO REPITE")</f>
        <v>NO REPITE</v>
      </c>
      <c r="P85" t="str">
        <f>IF(Tabla1[[#This Row],[rating_segun encuesta a Consumidor]]&lt;5,"Regular",IF(Tabla1[[#This Row],[rating_segun encuesta a Consumidor]]&gt;8,"Excelente","Bueno"))</f>
        <v>Bueno</v>
      </c>
    </row>
    <row r="86" spans="1:16" x14ac:dyDescent="0.35">
      <c r="A86" s="1">
        <v>44167</v>
      </c>
      <c r="B86">
        <v>4254</v>
      </c>
      <c r="C86" t="s">
        <v>26</v>
      </c>
      <c r="D86">
        <v>114</v>
      </c>
      <c r="E86">
        <v>75.66</v>
      </c>
      <c r="F86">
        <v>0</v>
      </c>
      <c r="G86" t="s">
        <v>31</v>
      </c>
      <c r="H86" t="s">
        <v>22</v>
      </c>
      <c r="I86" t="s">
        <v>28</v>
      </c>
      <c r="J86" t="s">
        <v>49</v>
      </c>
      <c r="K86">
        <v>10</v>
      </c>
      <c r="L86">
        <v>0</v>
      </c>
      <c r="M86" s="2">
        <f t="shared" si="1"/>
        <v>8625.24</v>
      </c>
      <c r="N86" s="2" t="str">
        <f>IF(Tabla1[[#This Row],[Aprobación_Veterinaria]]=1,"APROBADO","NO APROBADO")</f>
        <v>NO APROBADO</v>
      </c>
      <c r="O86" t="str">
        <f>IF(Tabla1[[#This Row],[Repite compra?]]=1,"REPITE","NO REPITE")</f>
        <v>NO REPITE</v>
      </c>
      <c r="P86" t="str">
        <f>IF(Tabla1[[#This Row],[rating_segun encuesta a Consumidor]]&lt;5,"Regular",IF(Tabla1[[#This Row],[rating_segun encuesta a Consumidor]]&gt;8,"Excelente","Bueno"))</f>
        <v>Excelente</v>
      </c>
    </row>
    <row r="87" spans="1:16" x14ac:dyDescent="0.35">
      <c r="A87" s="1">
        <v>44030</v>
      </c>
      <c r="B87">
        <v>4682</v>
      </c>
      <c r="C87" t="s">
        <v>30</v>
      </c>
      <c r="D87">
        <v>143</v>
      </c>
      <c r="E87">
        <v>196.20000000000002</v>
      </c>
      <c r="F87">
        <v>0</v>
      </c>
      <c r="G87" t="s">
        <v>33</v>
      </c>
      <c r="H87" t="s">
        <v>22</v>
      </c>
      <c r="I87" t="s">
        <v>18</v>
      </c>
      <c r="J87" t="s">
        <v>29</v>
      </c>
      <c r="K87">
        <v>10</v>
      </c>
      <c r="L87">
        <v>1</v>
      </c>
      <c r="M87" s="2">
        <f t="shared" si="1"/>
        <v>28056.600000000002</v>
      </c>
      <c r="N87" s="2" t="str">
        <f>IF(Tabla1[[#This Row],[Aprobación_Veterinaria]]=1,"APROBADO","NO APROBADO")</f>
        <v>NO APROBADO</v>
      </c>
      <c r="O87" t="str">
        <f>IF(Tabla1[[#This Row],[Repite compra?]]=1,"REPITE","NO REPITE")</f>
        <v>REPITE</v>
      </c>
      <c r="P87" t="str">
        <f>IF(Tabla1[[#This Row],[rating_segun encuesta a Consumidor]]&lt;5,"Regular",IF(Tabla1[[#This Row],[rating_segun encuesta a Consumidor]]&gt;8,"Excelente","Bueno"))</f>
        <v>Excelente</v>
      </c>
    </row>
    <row r="88" spans="1:16" x14ac:dyDescent="0.35">
      <c r="A88" s="1">
        <v>44118</v>
      </c>
      <c r="B88">
        <v>4525</v>
      </c>
      <c r="C88" t="s">
        <v>30</v>
      </c>
      <c r="D88">
        <v>115</v>
      </c>
      <c r="E88">
        <v>171.72</v>
      </c>
      <c r="F88">
        <v>0</v>
      </c>
      <c r="G88" t="s">
        <v>34</v>
      </c>
      <c r="H88" t="s">
        <v>22</v>
      </c>
      <c r="I88" t="s">
        <v>35</v>
      </c>
      <c r="J88" t="s">
        <v>23</v>
      </c>
      <c r="K88">
        <v>5</v>
      </c>
      <c r="L88">
        <v>0</v>
      </c>
      <c r="M88" s="2">
        <f t="shared" si="1"/>
        <v>19747.8</v>
      </c>
      <c r="N88" s="2" t="str">
        <f>IF(Tabla1[[#This Row],[Aprobación_Veterinaria]]=1,"APROBADO","NO APROBADO")</f>
        <v>NO APROBADO</v>
      </c>
      <c r="O88" t="str">
        <f>IF(Tabla1[[#This Row],[Repite compra?]]=1,"REPITE","NO REPITE")</f>
        <v>NO REPITE</v>
      </c>
      <c r="P88" t="str">
        <f>IF(Tabla1[[#This Row],[rating_segun encuesta a Consumidor]]&lt;5,"Regular",IF(Tabla1[[#This Row],[rating_segun encuesta a Consumidor]]&gt;8,"Excelente","Bueno"))</f>
        <v>Bueno</v>
      </c>
    </row>
    <row r="89" spans="1:16" x14ac:dyDescent="0.35">
      <c r="A89" s="1">
        <v>43938</v>
      </c>
      <c r="B89">
        <v>4191</v>
      </c>
      <c r="C89" t="s">
        <v>32</v>
      </c>
      <c r="D89">
        <v>160</v>
      </c>
      <c r="E89">
        <v>211.5</v>
      </c>
      <c r="F89">
        <v>0</v>
      </c>
      <c r="G89" t="s">
        <v>36</v>
      </c>
      <c r="H89" t="s">
        <v>22</v>
      </c>
      <c r="I89" t="s">
        <v>45</v>
      </c>
      <c r="J89" t="s">
        <v>23</v>
      </c>
      <c r="K89">
        <v>6</v>
      </c>
      <c r="L89">
        <v>1</v>
      </c>
      <c r="M89" s="2">
        <f t="shared" si="1"/>
        <v>33840</v>
      </c>
      <c r="N89" s="2" t="str">
        <f>IF(Tabla1[[#This Row],[Aprobación_Veterinaria]]=1,"APROBADO","NO APROBADO")</f>
        <v>NO APROBADO</v>
      </c>
      <c r="O89" t="str">
        <f>IF(Tabla1[[#This Row],[Repite compra?]]=1,"REPITE","NO REPITE")</f>
        <v>REPITE</v>
      </c>
      <c r="P89" t="str">
        <f>IF(Tabla1[[#This Row],[rating_segun encuesta a Consumidor]]&lt;5,"Regular",IF(Tabla1[[#This Row],[rating_segun encuesta a Consumidor]]&gt;8,"Excelente","Bueno"))</f>
        <v>Bueno</v>
      </c>
    </row>
    <row r="90" spans="1:16" x14ac:dyDescent="0.35">
      <c r="A90" s="1">
        <v>44029</v>
      </c>
      <c r="B90">
        <v>4432</v>
      </c>
      <c r="C90" t="s">
        <v>46</v>
      </c>
      <c r="D90">
        <v>137</v>
      </c>
      <c r="E90">
        <v>99.096000000000004</v>
      </c>
      <c r="F90">
        <v>1</v>
      </c>
      <c r="G90" t="s">
        <v>37</v>
      </c>
      <c r="H90" t="s">
        <v>22</v>
      </c>
      <c r="I90" t="s">
        <v>18</v>
      </c>
      <c r="J90" t="s">
        <v>29</v>
      </c>
      <c r="K90">
        <v>10</v>
      </c>
      <c r="L90">
        <v>0</v>
      </c>
      <c r="M90" s="2">
        <f t="shared" si="1"/>
        <v>13576.152</v>
      </c>
      <c r="N90" s="2" t="str">
        <f>IF(Tabla1[[#This Row],[Aprobación_Veterinaria]]=1,"APROBADO","NO APROBADO")</f>
        <v>APROBADO</v>
      </c>
      <c r="O90" t="str">
        <f>IF(Tabla1[[#This Row],[Repite compra?]]=1,"REPITE","NO REPITE")</f>
        <v>NO REPITE</v>
      </c>
      <c r="P90" t="str">
        <f>IF(Tabla1[[#This Row],[rating_segun encuesta a Consumidor]]&lt;5,"Regular",IF(Tabla1[[#This Row],[rating_segun encuesta a Consumidor]]&gt;8,"Excelente","Bueno"))</f>
        <v>Excelente</v>
      </c>
    </row>
    <row r="91" spans="1:16" x14ac:dyDescent="0.35">
      <c r="A91" s="1">
        <v>44133</v>
      </c>
      <c r="B91">
        <v>4189</v>
      </c>
      <c r="C91" t="s">
        <v>15</v>
      </c>
      <c r="D91">
        <v>17</v>
      </c>
      <c r="E91">
        <v>45.887999999999998</v>
      </c>
      <c r="F91">
        <v>0</v>
      </c>
      <c r="G91" t="s">
        <v>40</v>
      </c>
      <c r="H91" t="s">
        <v>22</v>
      </c>
      <c r="I91" t="s">
        <v>28</v>
      </c>
      <c r="J91" t="s">
        <v>25</v>
      </c>
      <c r="K91">
        <v>6</v>
      </c>
      <c r="L91">
        <v>1</v>
      </c>
      <c r="M91" s="2">
        <f t="shared" si="1"/>
        <v>780.096</v>
      </c>
      <c r="N91" s="2" t="str">
        <f>IF(Tabla1[[#This Row],[Aprobación_Veterinaria]]=1,"APROBADO","NO APROBADO")</f>
        <v>NO APROBADO</v>
      </c>
      <c r="O91" t="str">
        <f>IF(Tabla1[[#This Row],[Repite compra?]]=1,"REPITE","NO REPITE")</f>
        <v>REPITE</v>
      </c>
      <c r="P91" t="str">
        <f>IF(Tabla1[[#This Row],[rating_segun encuesta a Consumidor]]&lt;5,"Regular",IF(Tabla1[[#This Row],[rating_segun encuesta a Consumidor]]&gt;8,"Excelente","Bueno"))</f>
        <v>Bueno</v>
      </c>
    </row>
    <row r="92" spans="1:16" x14ac:dyDescent="0.35">
      <c r="A92" s="1">
        <v>43883</v>
      </c>
      <c r="B92">
        <v>4533</v>
      </c>
      <c r="C92" t="s">
        <v>42</v>
      </c>
      <c r="D92">
        <v>35</v>
      </c>
      <c r="E92">
        <v>46.067999999999998</v>
      </c>
      <c r="F92">
        <v>1</v>
      </c>
      <c r="G92" t="s">
        <v>16</v>
      </c>
      <c r="H92" t="s">
        <v>22</v>
      </c>
      <c r="I92" t="s">
        <v>41</v>
      </c>
      <c r="J92" t="s">
        <v>23</v>
      </c>
      <c r="K92">
        <v>7</v>
      </c>
      <c r="L92">
        <v>1</v>
      </c>
      <c r="M92" s="2">
        <f t="shared" si="1"/>
        <v>1612.3799999999999</v>
      </c>
      <c r="N92" s="2" t="str">
        <f>IF(Tabla1[[#This Row],[Aprobación_Veterinaria]]=1,"APROBADO","NO APROBADO")</f>
        <v>APROBADO</v>
      </c>
      <c r="O92" t="str">
        <f>IF(Tabla1[[#This Row],[Repite compra?]]=1,"REPITE","NO REPITE")</f>
        <v>REPITE</v>
      </c>
      <c r="P92" t="str">
        <f>IF(Tabla1[[#This Row],[rating_segun encuesta a Consumidor]]&lt;5,"Regular",IF(Tabla1[[#This Row],[rating_segun encuesta a Consumidor]]&gt;8,"Excelente","Bueno"))</f>
        <v>Bueno</v>
      </c>
    </row>
    <row r="93" spans="1:16" x14ac:dyDescent="0.35">
      <c r="A93" s="1">
        <v>44177</v>
      </c>
      <c r="B93">
        <v>4375</v>
      </c>
      <c r="C93" t="s">
        <v>26</v>
      </c>
      <c r="D93">
        <v>117</v>
      </c>
      <c r="E93">
        <v>68.483999999999995</v>
      </c>
      <c r="F93">
        <v>0</v>
      </c>
      <c r="G93" t="s">
        <v>21</v>
      </c>
      <c r="H93" t="s">
        <v>22</v>
      </c>
      <c r="I93" t="s">
        <v>35</v>
      </c>
      <c r="J93" t="s">
        <v>23</v>
      </c>
      <c r="K93">
        <v>1</v>
      </c>
      <c r="L93">
        <v>0</v>
      </c>
      <c r="M93" s="2">
        <f t="shared" si="1"/>
        <v>8012.6279999999997</v>
      </c>
      <c r="N93" s="2" t="str">
        <f>IF(Tabla1[[#This Row],[Aprobación_Veterinaria]]=1,"APROBADO","NO APROBADO")</f>
        <v>NO APROBADO</v>
      </c>
      <c r="O93" t="str">
        <f>IF(Tabla1[[#This Row],[Repite compra?]]=1,"REPITE","NO REPITE")</f>
        <v>NO REPITE</v>
      </c>
      <c r="P93" t="str">
        <f>IF(Tabla1[[#This Row],[rating_segun encuesta a Consumidor]]&lt;5,"Regular",IF(Tabla1[[#This Row],[rating_segun encuesta a Consumidor]]&gt;8,"Excelente","Bueno"))</f>
        <v>Regular</v>
      </c>
    </row>
    <row r="94" spans="1:16" x14ac:dyDescent="0.35">
      <c r="A94" s="1">
        <v>43966</v>
      </c>
      <c r="B94">
        <v>4581</v>
      </c>
      <c r="C94" t="s">
        <v>51</v>
      </c>
      <c r="D94">
        <v>188</v>
      </c>
      <c r="E94">
        <v>108.97200000000001</v>
      </c>
      <c r="F94">
        <v>1</v>
      </c>
      <c r="G94" t="s">
        <v>24</v>
      </c>
      <c r="H94" t="s">
        <v>22</v>
      </c>
      <c r="I94" t="s">
        <v>45</v>
      </c>
      <c r="J94" t="s">
        <v>23</v>
      </c>
      <c r="K94">
        <v>10</v>
      </c>
      <c r="L94">
        <v>0</v>
      </c>
      <c r="M94" s="2">
        <f t="shared" si="1"/>
        <v>20486.736000000001</v>
      </c>
      <c r="N94" s="2" t="str">
        <f>IF(Tabla1[[#This Row],[Aprobación_Veterinaria]]=1,"APROBADO","NO APROBADO")</f>
        <v>APROBADO</v>
      </c>
      <c r="O94" t="str">
        <f>IF(Tabla1[[#This Row],[Repite compra?]]=1,"REPITE","NO REPITE")</f>
        <v>NO REPITE</v>
      </c>
      <c r="P94" t="str">
        <f>IF(Tabla1[[#This Row],[rating_segun encuesta a Consumidor]]&lt;5,"Regular",IF(Tabla1[[#This Row],[rating_segun encuesta a Consumidor]]&gt;8,"Excelente","Bueno"))</f>
        <v>Excelente</v>
      </c>
    </row>
    <row r="95" spans="1:16" x14ac:dyDescent="0.35">
      <c r="A95" s="1">
        <v>44038</v>
      </c>
      <c r="B95">
        <v>4936</v>
      </c>
      <c r="C95" t="s">
        <v>26</v>
      </c>
      <c r="D95">
        <v>122</v>
      </c>
      <c r="E95">
        <v>82.14</v>
      </c>
      <c r="F95">
        <v>0</v>
      </c>
      <c r="G95" t="s">
        <v>27</v>
      </c>
      <c r="H95" t="s">
        <v>48</v>
      </c>
      <c r="I95" t="s">
        <v>18</v>
      </c>
      <c r="J95" t="s">
        <v>29</v>
      </c>
      <c r="K95">
        <v>6</v>
      </c>
      <c r="L95">
        <v>0</v>
      </c>
      <c r="M95" s="2">
        <f t="shared" si="1"/>
        <v>10021.08</v>
      </c>
      <c r="N95" s="2" t="str">
        <f>IF(Tabla1[[#This Row],[Aprobación_Veterinaria]]=1,"APROBADO","NO APROBADO")</f>
        <v>NO APROBADO</v>
      </c>
      <c r="O95" t="str">
        <f>IF(Tabla1[[#This Row],[Repite compra?]]=1,"REPITE","NO REPITE")</f>
        <v>NO REPITE</v>
      </c>
      <c r="P95" t="str">
        <f>IF(Tabla1[[#This Row],[rating_segun encuesta a Consumidor]]&lt;5,"Regular",IF(Tabla1[[#This Row],[rating_segun encuesta a Consumidor]]&gt;8,"Excelente","Bueno"))</f>
        <v>Bueno</v>
      </c>
    </row>
    <row r="96" spans="1:16" x14ac:dyDescent="0.35">
      <c r="A96" s="1">
        <v>44113</v>
      </c>
      <c r="B96">
        <v>4338</v>
      </c>
      <c r="C96" t="s">
        <v>30</v>
      </c>
      <c r="D96">
        <v>163</v>
      </c>
      <c r="E96">
        <v>57.648000000000003</v>
      </c>
      <c r="F96">
        <v>1</v>
      </c>
      <c r="G96" t="s">
        <v>31</v>
      </c>
      <c r="H96" t="s">
        <v>22</v>
      </c>
      <c r="I96" t="s">
        <v>41</v>
      </c>
      <c r="J96" t="s">
        <v>29</v>
      </c>
      <c r="K96">
        <v>10</v>
      </c>
      <c r="L96">
        <v>0</v>
      </c>
      <c r="M96" s="2">
        <f t="shared" si="1"/>
        <v>9396.6239999999998</v>
      </c>
      <c r="N96" s="2" t="str">
        <f>IF(Tabla1[[#This Row],[Aprobación_Veterinaria]]=1,"APROBADO","NO APROBADO")</f>
        <v>APROBADO</v>
      </c>
      <c r="O96" t="str">
        <f>IF(Tabla1[[#This Row],[Repite compra?]]=1,"REPITE","NO REPITE")</f>
        <v>NO REPITE</v>
      </c>
      <c r="P96" t="str">
        <f>IF(Tabla1[[#This Row],[rating_segun encuesta a Consumidor]]&lt;5,"Regular",IF(Tabla1[[#This Row],[rating_segun encuesta a Consumidor]]&gt;8,"Excelente","Bueno"))</f>
        <v>Excelente</v>
      </c>
    </row>
    <row r="97" spans="1:16" x14ac:dyDescent="0.35">
      <c r="A97" s="1">
        <v>44107</v>
      </c>
      <c r="B97">
        <v>4498</v>
      </c>
      <c r="C97" t="s">
        <v>46</v>
      </c>
      <c r="D97">
        <v>151</v>
      </c>
      <c r="E97">
        <v>123.084</v>
      </c>
      <c r="F97">
        <v>1</v>
      </c>
      <c r="G97" t="s">
        <v>33</v>
      </c>
      <c r="H97" t="s">
        <v>22</v>
      </c>
      <c r="I97" t="s">
        <v>41</v>
      </c>
      <c r="J97" t="s">
        <v>29</v>
      </c>
      <c r="K97">
        <v>4</v>
      </c>
      <c r="L97">
        <v>1</v>
      </c>
      <c r="M97" s="2">
        <f t="shared" si="1"/>
        <v>18585.684000000001</v>
      </c>
      <c r="N97" s="2" t="str">
        <f>IF(Tabla1[[#This Row],[Aprobación_Veterinaria]]=1,"APROBADO","NO APROBADO")</f>
        <v>APROBADO</v>
      </c>
      <c r="O97" t="str">
        <f>IF(Tabla1[[#This Row],[Repite compra?]]=1,"REPITE","NO REPITE")</f>
        <v>REPITE</v>
      </c>
      <c r="P97" t="str">
        <f>IF(Tabla1[[#This Row],[rating_segun encuesta a Consumidor]]&lt;5,"Regular",IF(Tabla1[[#This Row],[rating_segun encuesta a Consumidor]]&gt;8,"Excelente","Bueno"))</f>
        <v>Regular</v>
      </c>
    </row>
    <row r="98" spans="1:16" x14ac:dyDescent="0.35">
      <c r="A98" s="1">
        <v>43838</v>
      </c>
      <c r="B98">
        <v>4293</v>
      </c>
      <c r="C98" t="s">
        <v>39</v>
      </c>
      <c r="D98">
        <v>66</v>
      </c>
      <c r="E98">
        <v>18.552</v>
      </c>
      <c r="F98">
        <v>0</v>
      </c>
      <c r="G98" t="s">
        <v>34</v>
      </c>
      <c r="H98" t="s">
        <v>22</v>
      </c>
      <c r="I98" t="s">
        <v>41</v>
      </c>
      <c r="J98" t="s">
        <v>23</v>
      </c>
      <c r="K98">
        <v>8</v>
      </c>
      <c r="L98">
        <v>1</v>
      </c>
      <c r="M98" s="2">
        <f t="shared" si="1"/>
        <v>1224.432</v>
      </c>
      <c r="N98" s="2" t="str">
        <f>IF(Tabla1[[#This Row],[Aprobación_Veterinaria]]=1,"APROBADO","NO APROBADO")</f>
        <v>NO APROBADO</v>
      </c>
      <c r="O98" t="str">
        <f>IF(Tabla1[[#This Row],[Repite compra?]]=1,"REPITE","NO REPITE")</f>
        <v>REPITE</v>
      </c>
      <c r="P98" t="str">
        <f>IF(Tabla1[[#This Row],[rating_segun encuesta a Consumidor]]&lt;5,"Regular",IF(Tabla1[[#This Row],[rating_segun encuesta a Consumidor]]&gt;8,"Excelente","Bueno"))</f>
        <v>Bueno</v>
      </c>
    </row>
    <row r="99" spans="1:16" x14ac:dyDescent="0.35">
      <c r="A99" s="1">
        <v>44096</v>
      </c>
      <c r="B99">
        <v>4520</v>
      </c>
      <c r="C99" t="s">
        <v>46</v>
      </c>
      <c r="D99">
        <v>141</v>
      </c>
      <c r="E99">
        <v>3.0720000000000001</v>
      </c>
      <c r="F99">
        <v>1</v>
      </c>
      <c r="G99" t="s">
        <v>36</v>
      </c>
      <c r="H99" t="s">
        <v>22</v>
      </c>
      <c r="I99" t="s">
        <v>35</v>
      </c>
      <c r="J99" t="s">
        <v>29</v>
      </c>
      <c r="K99">
        <v>4</v>
      </c>
      <c r="L99">
        <v>1</v>
      </c>
      <c r="M99" s="2">
        <f t="shared" si="1"/>
        <v>433.15199999999999</v>
      </c>
      <c r="N99" s="2" t="str">
        <f>IF(Tabla1[[#This Row],[Aprobación_Veterinaria]]=1,"APROBADO","NO APROBADO")</f>
        <v>APROBADO</v>
      </c>
      <c r="O99" t="str">
        <f>IF(Tabla1[[#This Row],[Repite compra?]]=1,"REPITE","NO REPITE")</f>
        <v>REPITE</v>
      </c>
      <c r="P99" t="str">
        <f>IF(Tabla1[[#This Row],[rating_segun encuesta a Consumidor]]&lt;5,"Regular",IF(Tabla1[[#This Row],[rating_segun encuesta a Consumidor]]&gt;8,"Excelente","Bueno"))</f>
        <v>Regular</v>
      </c>
    </row>
    <row r="100" spans="1:16" x14ac:dyDescent="0.35">
      <c r="A100" s="1">
        <v>43884</v>
      </c>
      <c r="B100">
        <v>4629</v>
      </c>
      <c r="C100" t="s">
        <v>15</v>
      </c>
      <c r="D100">
        <v>77</v>
      </c>
      <c r="E100">
        <v>167.48400000000001</v>
      </c>
      <c r="F100">
        <v>0</v>
      </c>
      <c r="G100" t="s">
        <v>37</v>
      </c>
      <c r="H100" t="s">
        <v>22</v>
      </c>
      <c r="I100" t="s">
        <v>28</v>
      </c>
      <c r="J100" t="s">
        <v>23</v>
      </c>
      <c r="K100">
        <v>10</v>
      </c>
      <c r="L100">
        <v>1</v>
      </c>
      <c r="M100" s="2">
        <f t="shared" si="1"/>
        <v>12896.268</v>
      </c>
      <c r="N100" s="2" t="str">
        <f>IF(Tabla1[[#This Row],[Aprobación_Veterinaria]]=1,"APROBADO","NO APROBADO")</f>
        <v>NO APROBADO</v>
      </c>
      <c r="O100" t="str">
        <f>IF(Tabla1[[#This Row],[Repite compra?]]=1,"REPITE","NO REPITE")</f>
        <v>REPITE</v>
      </c>
      <c r="P100" t="str">
        <f>IF(Tabla1[[#This Row],[rating_segun encuesta a Consumidor]]&lt;5,"Regular",IF(Tabla1[[#This Row],[rating_segun encuesta a Consumidor]]&gt;8,"Excelente","Bueno"))</f>
        <v>Excelente</v>
      </c>
    </row>
    <row r="101" spans="1:16" x14ac:dyDescent="0.35">
      <c r="A101" s="1">
        <v>43894</v>
      </c>
      <c r="B101">
        <v>4874</v>
      </c>
      <c r="C101" t="s">
        <v>20</v>
      </c>
      <c r="D101">
        <v>45</v>
      </c>
      <c r="E101">
        <v>37.212000000000003</v>
      </c>
      <c r="F101">
        <v>1</v>
      </c>
      <c r="G101" t="s">
        <v>40</v>
      </c>
      <c r="H101" t="s">
        <v>54</v>
      </c>
      <c r="I101" t="s">
        <v>18</v>
      </c>
      <c r="J101" t="s">
        <v>29</v>
      </c>
      <c r="K101">
        <v>6</v>
      </c>
      <c r="L101">
        <v>0</v>
      </c>
      <c r="M101" s="2">
        <f t="shared" si="1"/>
        <v>1674.5400000000002</v>
      </c>
      <c r="N101" s="2" t="str">
        <f>IF(Tabla1[[#This Row],[Aprobación_Veterinaria]]=1,"APROBADO","NO APROBADO")</f>
        <v>APROBADO</v>
      </c>
      <c r="O101" t="str">
        <f>IF(Tabla1[[#This Row],[Repite compra?]]=1,"REPITE","NO REPITE")</f>
        <v>NO REPITE</v>
      </c>
      <c r="P101" t="str">
        <f>IF(Tabla1[[#This Row],[rating_segun encuesta a Consumidor]]&lt;5,"Regular",IF(Tabla1[[#This Row],[rating_segun encuesta a Consumidor]]&gt;8,"Excelente","Bueno"))</f>
        <v>Bueno</v>
      </c>
    </row>
    <row r="102" spans="1:16" x14ac:dyDescent="0.35">
      <c r="A102" s="1">
        <v>44029</v>
      </c>
      <c r="B102">
        <v>4775</v>
      </c>
      <c r="C102" t="s">
        <v>20</v>
      </c>
      <c r="D102">
        <v>172</v>
      </c>
      <c r="E102">
        <v>99.78</v>
      </c>
      <c r="F102">
        <v>1</v>
      </c>
      <c r="G102" t="s">
        <v>16</v>
      </c>
      <c r="H102" t="s">
        <v>44</v>
      </c>
      <c r="I102" t="s">
        <v>41</v>
      </c>
      <c r="J102" t="s">
        <v>23</v>
      </c>
      <c r="K102">
        <v>7</v>
      </c>
      <c r="L102">
        <v>0</v>
      </c>
      <c r="M102" s="2">
        <f t="shared" si="1"/>
        <v>17162.16</v>
      </c>
      <c r="N102" s="2" t="str">
        <f>IF(Tabla1[[#This Row],[Aprobación_Veterinaria]]=1,"APROBADO","NO APROBADO")</f>
        <v>APROBADO</v>
      </c>
      <c r="O102" t="str">
        <f>IF(Tabla1[[#This Row],[Repite compra?]]=1,"REPITE","NO REPITE")</f>
        <v>NO REPITE</v>
      </c>
      <c r="P102" t="str">
        <f>IF(Tabla1[[#This Row],[rating_segun encuesta a Consumidor]]&lt;5,"Regular",IF(Tabla1[[#This Row],[rating_segun encuesta a Consumidor]]&gt;8,"Excelente","Bueno"))</f>
        <v>Bueno</v>
      </c>
    </row>
    <row r="103" spans="1:16" x14ac:dyDescent="0.35">
      <c r="A103" s="1">
        <v>44163</v>
      </c>
      <c r="B103">
        <v>4439</v>
      </c>
      <c r="C103" t="s">
        <v>47</v>
      </c>
      <c r="D103">
        <v>102</v>
      </c>
      <c r="E103">
        <v>89.963999999999999</v>
      </c>
      <c r="F103">
        <v>1</v>
      </c>
      <c r="G103" t="s">
        <v>21</v>
      </c>
      <c r="H103" t="s">
        <v>22</v>
      </c>
      <c r="I103" t="s">
        <v>28</v>
      </c>
      <c r="J103" t="s">
        <v>23</v>
      </c>
      <c r="K103">
        <v>3</v>
      </c>
      <c r="L103">
        <v>0</v>
      </c>
      <c r="M103" s="2">
        <f t="shared" si="1"/>
        <v>9176.3279999999995</v>
      </c>
      <c r="N103" s="2" t="str">
        <f>IF(Tabla1[[#This Row],[Aprobación_Veterinaria]]=1,"APROBADO","NO APROBADO")</f>
        <v>APROBADO</v>
      </c>
      <c r="O103" t="str">
        <f>IF(Tabla1[[#This Row],[Repite compra?]]=1,"REPITE","NO REPITE")</f>
        <v>NO REPITE</v>
      </c>
      <c r="P103" t="str">
        <f>IF(Tabla1[[#This Row],[rating_segun encuesta a Consumidor]]&lt;5,"Regular",IF(Tabla1[[#This Row],[rating_segun encuesta a Consumidor]]&gt;8,"Excelente","Bueno"))</f>
        <v>Regular</v>
      </c>
    </row>
    <row r="104" spans="1:16" x14ac:dyDescent="0.35">
      <c r="A104" s="1">
        <v>44154</v>
      </c>
      <c r="B104">
        <v>4875</v>
      </c>
      <c r="C104" t="s">
        <v>15</v>
      </c>
      <c r="D104">
        <v>118</v>
      </c>
      <c r="E104">
        <v>79.116</v>
      </c>
      <c r="F104">
        <v>1</v>
      </c>
      <c r="G104" t="s">
        <v>24</v>
      </c>
      <c r="H104" t="s">
        <v>44</v>
      </c>
      <c r="I104" t="s">
        <v>41</v>
      </c>
      <c r="J104" t="s">
        <v>23</v>
      </c>
      <c r="K104">
        <v>6</v>
      </c>
      <c r="L104">
        <v>0</v>
      </c>
      <c r="M104" s="2">
        <f t="shared" si="1"/>
        <v>9335.6880000000001</v>
      </c>
      <c r="N104" s="2" t="str">
        <f>IF(Tabla1[[#This Row],[Aprobación_Veterinaria]]=1,"APROBADO","NO APROBADO")</f>
        <v>APROBADO</v>
      </c>
      <c r="O104" t="str">
        <f>IF(Tabla1[[#This Row],[Repite compra?]]=1,"REPITE","NO REPITE")</f>
        <v>NO REPITE</v>
      </c>
      <c r="P104" t="str">
        <f>IF(Tabla1[[#This Row],[rating_segun encuesta a Consumidor]]&lt;5,"Regular",IF(Tabla1[[#This Row],[rating_segun encuesta a Consumidor]]&gt;8,"Excelente","Bueno"))</f>
        <v>Bueno</v>
      </c>
    </row>
    <row r="105" spans="1:16" x14ac:dyDescent="0.35">
      <c r="A105" s="1">
        <v>44185</v>
      </c>
      <c r="B105">
        <v>4839</v>
      </c>
      <c r="C105" t="s">
        <v>15</v>
      </c>
      <c r="D105">
        <v>125</v>
      </c>
      <c r="E105">
        <v>149.66400000000002</v>
      </c>
      <c r="F105">
        <v>1</v>
      </c>
      <c r="G105" t="s">
        <v>27</v>
      </c>
      <c r="H105" t="s">
        <v>54</v>
      </c>
      <c r="I105" t="s">
        <v>41</v>
      </c>
      <c r="J105" t="s">
        <v>23</v>
      </c>
      <c r="K105">
        <v>1</v>
      </c>
      <c r="L105">
        <v>1</v>
      </c>
      <c r="M105" s="2">
        <f t="shared" si="1"/>
        <v>18708.000000000004</v>
      </c>
      <c r="N105" s="2" t="str">
        <f>IF(Tabla1[[#This Row],[Aprobación_Veterinaria]]=1,"APROBADO","NO APROBADO")</f>
        <v>APROBADO</v>
      </c>
      <c r="O105" t="str">
        <f>IF(Tabla1[[#This Row],[Repite compra?]]=1,"REPITE","NO REPITE")</f>
        <v>REPITE</v>
      </c>
      <c r="P105" t="str">
        <f>IF(Tabla1[[#This Row],[rating_segun encuesta a Consumidor]]&lt;5,"Regular",IF(Tabla1[[#This Row],[rating_segun encuesta a Consumidor]]&gt;8,"Excelente","Bueno"))</f>
        <v>Regular</v>
      </c>
    </row>
    <row r="106" spans="1:16" x14ac:dyDescent="0.35">
      <c r="A106" s="1">
        <v>43864</v>
      </c>
      <c r="B106">
        <v>4556</v>
      </c>
      <c r="C106" t="s">
        <v>20</v>
      </c>
      <c r="D106">
        <v>52</v>
      </c>
      <c r="E106">
        <v>186.048</v>
      </c>
      <c r="F106">
        <v>0</v>
      </c>
      <c r="G106" t="s">
        <v>31</v>
      </c>
      <c r="H106" t="s">
        <v>22</v>
      </c>
      <c r="I106" t="s">
        <v>45</v>
      </c>
      <c r="J106" t="s">
        <v>29</v>
      </c>
      <c r="K106">
        <v>10</v>
      </c>
      <c r="L106">
        <v>0</v>
      </c>
      <c r="M106" s="2">
        <f t="shared" si="1"/>
        <v>9674.4959999999992</v>
      </c>
      <c r="N106" s="2" t="str">
        <f>IF(Tabla1[[#This Row],[Aprobación_Veterinaria]]=1,"APROBADO","NO APROBADO")</f>
        <v>NO APROBADO</v>
      </c>
      <c r="O106" t="str">
        <f>IF(Tabla1[[#This Row],[Repite compra?]]=1,"REPITE","NO REPITE")</f>
        <v>NO REPITE</v>
      </c>
      <c r="P106" t="str">
        <f>IF(Tabla1[[#This Row],[rating_segun encuesta a Consumidor]]&lt;5,"Regular",IF(Tabla1[[#This Row],[rating_segun encuesta a Consumidor]]&gt;8,"Excelente","Bueno"))</f>
        <v>Excelente</v>
      </c>
    </row>
    <row r="107" spans="1:16" x14ac:dyDescent="0.35">
      <c r="A107" s="1">
        <v>44000</v>
      </c>
      <c r="B107">
        <v>4811</v>
      </c>
      <c r="C107" t="s">
        <v>20</v>
      </c>
      <c r="D107">
        <v>121</v>
      </c>
      <c r="E107">
        <v>221.50800000000001</v>
      </c>
      <c r="F107">
        <v>1</v>
      </c>
      <c r="G107" t="s">
        <v>33</v>
      </c>
      <c r="H107" t="s">
        <v>48</v>
      </c>
      <c r="I107" t="s">
        <v>41</v>
      </c>
      <c r="J107" t="s">
        <v>23</v>
      </c>
      <c r="K107">
        <v>2</v>
      </c>
      <c r="L107">
        <v>1</v>
      </c>
      <c r="M107" s="2">
        <f t="shared" si="1"/>
        <v>26802.468000000001</v>
      </c>
      <c r="N107" s="2" t="str">
        <f>IF(Tabla1[[#This Row],[Aprobación_Veterinaria]]=1,"APROBADO","NO APROBADO")</f>
        <v>APROBADO</v>
      </c>
      <c r="O107" t="str">
        <f>IF(Tabla1[[#This Row],[Repite compra?]]=1,"REPITE","NO REPITE")</f>
        <v>REPITE</v>
      </c>
      <c r="P107" t="str">
        <f>IF(Tabla1[[#This Row],[rating_segun encuesta a Consumidor]]&lt;5,"Regular",IF(Tabla1[[#This Row],[rating_segun encuesta a Consumidor]]&gt;8,"Excelente","Bueno"))</f>
        <v>Regular</v>
      </c>
    </row>
    <row r="108" spans="1:16" x14ac:dyDescent="0.35">
      <c r="A108" s="1">
        <v>44076</v>
      </c>
      <c r="B108">
        <v>4491</v>
      </c>
      <c r="C108" t="s">
        <v>39</v>
      </c>
      <c r="D108">
        <v>151</v>
      </c>
      <c r="E108">
        <v>24.468</v>
      </c>
      <c r="F108">
        <v>0</v>
      </c>
      <c r="G108" t="s">
        <v>34</v>
      </c>
      <c r="H108" t="s">
        <v>22</v>
      </c>
      <c r="I108" t="s">
        <v>45</v>
      </c>
      <c r="J108" t="s">
        <v>23</v>
      </c>
      <c r="K108">
        <v>5</v>
      </c>
      <c r="L108">
        <v>0</v>
      </c>
      <c r="M108" s="2">
        <f t="shared" si="1"/>
        <v>3694.6680000000001</v>
      </c>
      <c r="N108" s="2" t="str">
        <f>IF(Tabla1[[#This Row],[Aprobación_Veterinaria]]=1,"APROBADO","NO APROBADO")</f>
        <v>NO APROBADO</v>
      </c>
      <c r="O108" t="str">
        <f>IF(Tabla1[[#This Row],[Repite compra?]]=1,"REPITE","NO REPITE")</f>
        <v>NO REPITE</v>
      </c>
      <c r="P108" t="str">
        <f>IF(Tabla1[[#This Row],[rating_segun encuesta a Consumidor]]&lt;5,"Regular",IF(Tabla1[[#This Row],[rating_segun encuesta a Consumidor]]&gt;8,"Excelente","Bueno"))</f>
        <v>Bueno</v>
      </c>
    </row>
    <row r="109" spans="1:16" x14ac:dyDescent="0.35">
      <c r="A109" s="1">
        <v>44057</v>
      </c>
      <c r="B109">
        <v>4685</v>
      </c>
      <c r="C109" t="s">
        <v>30</v>
      </c>
      <c r="D109">
        <v>73</v>
      </c>
      <c r="E109">
        <v>232.38</v>
      </c>
      <c r="F109">
        <v>0</v>
      </c>
      <c r="G109" t="s">
        <v>36</v>
      </c>
      <c r="H109" t="s">
        <v>44</v>
      </c>
      <c r="I109" t="s">
        <v>35</v>
      </c>
      <c r="J109" t="s">
        <v>23</v>
      </c>
      <c r="K109">
        <v>10</v>
      </c>
      <c r="L109">
        <v>1</v>
      </c>
      <c r="M109" s="2">
        <f t="shared" si="1"/>
        <v>16963.739999999998</v>
      </c>
      <c r="N109" s="2" t="str">
        <f>IF(Tabla1[[#This Row],[Aprobación_Veterinaria]]=1,"APROBADO","NO APROBADO")</f>
        <v>NO APROBADO</v>
      </c>
      <c r="O109" t="str">
        <f>IF(Tabla1[[#This Row],[Repite compra?]]=1,"REPITE","NO REPITE")</f>
        <v>REPITE</v>
      </c>
      <c r="P109" t="str">
        <f>IF(Tabla1[[#This Row],[rating_segun encuesta a Consumidor]]&lt;5,"Regular",IF(Tabla1[[#This Row],[rating_segun encuesta a Consumidor]]&gt;8,"Excelente","Bueno"))</f>
        <v>Excelente</v>
      </c>
    </row>
    <row r="110" spans="1:16" x14ac:dyDescent="0.35">
      <c r="A110" s="1">
        <v>44122</v>
      </c>
      <c r="B110">
        <v>4752</v>
      </c>
      <c r="C110" t="s">
        <v>43</v>
      </c>
      <c r="D110">
        <v>116</v>
      </c>
      <c r="E110">
        <v>32.436</v>
      </c>
      <c r="F110">
        <v>0</v>
      </c>
      <c r="G110" t="s">
        <v>37</v>
      </c>
      <c r="H110" t="s">
        <v>38</v>
      </c>
      <c r="I110" t="s">
        <v>18</v>
      </c>
      <c r="J110" t="s">
        <v>29</v>
      </c>
      <c r="K110">
        <v>7</v>
      </c>
      <c r="L110">
        <v>0</v>
      </c>
      <c r="M110" s="2">
        <f t="shared" si="1"/>
        <v>3762.576</v>
      </c>
      <c r="N110" s="2" t="str">
        <f>IF(Tabla1[[#This Row],[Aprobación_Veterinaria]]=1,"APROBADO","NO APROBADO")</f>
        <v>NO APROBADO</v>
      </c>
      <c r="O110" t="str">
        <f>IF(Tabla1[[#This Row],[Repite compra?]]=1,"REPITE","NO REPITE")</f>
        <v>NO REPITE</v>
      </c>
      <c r="P110" t="str">
        <f>IF(Tabla1[[#This Row],[rating_segun encuesta a Consumidor]]&lt;5,"Regular",IF(Tabla1[[#This Row],[rating_segun encuesta a Consumidor]]&gt;8,"Excelente","Bueno"))</f>
        <v>Bueno</v>
      </c>
    </row>
    <row r="111" spans="1:16" x14ac:dyDescent="0.35">
      <c r="A111" s="1">
        <v>44182</v>
      </c>
      <c r="B111">
        <v>4991</v>
      </c>
      <c r="C111" t="s">
        <v>20</v>
      </c>
      <c r="D111">
        <v>118</v>
      </c>
      <c r="E111">
        <v>5.7839999999999998</v>
      </c>
      <c r="F111">
        <v>0</v>
      </c>
      <c r="G111" t="s">
        <v>40</v>
      </c>
      <c r="H111" t="s">
        <v>48</v>
      </c>
      <c r="I111" t="s">
        <v>41</v>
      </c>
      <c r="J111" t="s">
        <v>49</v>
      </c>
      <c r="K111">
        <v>6</v>
      </c>
      <c r="L111">
        <v>0</v>
      </c>
      <c r="M111" s="2">
        <f t="shared" si="1"/>
        <v>682.51199999999994</v>
      </c>
      <c r="N111" s="2" t="str">
        <f>IF(Tabla1[[#This Row],[Aprobación_Veterinaria]]=1,"APROBADO","NO APROBADO")</f>
        <v>NO APROBADO</v>
      </c>
      <c r="O111" t="str">
        <f>IF(Tabla1[[#This Row],[Repite compra?]]=1,"REPITE","NO REPITE")</f>
        <v>NO REPITE</v>
      </c>
      <c r="P111" t="str">
        <f>IF(Tabla1[[#This Row],[rating_segun encuesta a Consumidor]]&lt;5,"Regular",IF(Tabla1[[#This Row],[rating_segun encuesta a Consumidor]]&gt;8,"Excelente","Bueno"))</f>
        <v>Bueno</v>
      </c>
    </row>
    <row r="112" spans="1:16" x14ac:dyDescent="0.35">
      <c r="A112" s="1">
        <v>43942</v>
      </c>
      <c r="B112">
        <v>4923</v>
      </c>
      <c r="C112" t="s">
        <v>15</v>
      </c>
      <c r="D112">
        <v>22</v>
      </c>
      <c r="E112">
        <v>210.876</v>
      </c>
      <c r="F112">
        <v>0</v>
      </c>
      <c r="G112" t="s">
        <v>16</v>
      </c>
      <c r="H112" t="s">
        <v>50</v>
      </c>
      <c r="I112" t="s">
        <v>41</v>
      </c>
      <c r="J112" t="s">
        <v>23</v>
      </c>
      <c r="K112">
        <v>6</v>
      </c>
      <c r="L112">
        <v>0</v>
      </c>
      <c r="M112" s="2">
        <f t="shared" si="1"/>
        <v>4639.2719999999999</v>
      </c>
      <c r="N112" s="2" t="str">
        <f>IF(Tabla1[[#This Row],[Aprobación_Veterinaria]]=1,"APROBADO","NO APROBADO")</f>
        <v>NO APROBADO</v>
      </c>
      <c r="O112" t="str">
        <f>IF(Tabla1[[#This Row],[Repite compra?]]=1,"REPITE","NO REPITE")</f>
        <v>NO REPITE</v>
      </c>
      <c r="P112" t="str">
        <f>IF(Tabla1[[#This Row],[rating_segun encuesta a Consumidor]]&lt;5,"Regular",IF(Tabla1[[#This Row],[rating_segun encuesta a Consumidor]]&gt;8,"Excelente","Bueno"))</f>
        <v>Bueno</v>
      </c>
    </row>
    <row r="113" spans="1:16" x14ac:dyDescent="0.35">
      <c r="A113" s="1">
        <v>43905</v>
      </c>
      <c r="B113">
        <v>4977</v>
      </c>
      <c r="C113" t="s">
        <v>15</v>
      </c>
      <c r="D113">
        <v>134</v>
      </c>
      <c r="E113">
        <v>50.532000000000004</v>
      </c>
      <c r="F113">
        <v>1</v>
      </c>
      <c r="G113" t="s">
        <v>21</v>
      </c>
      <c r="H113" t="s">
        <v>38</v>
      </c>
      <c r="I113" t="s">
        <v>41</v>
      </c>
      <c r="J113" t="s">
        <v>49</v>
      </c>
      <c r="K113">
        <v>6</v>
      </c>
      <c r="L113">
        <v>0</v>
      </c>
      <c r="M113" s="2">
        <f t="shared" si="1"/>
        <v>6771.2880000000005</v>
      </c>
      <c r="N113" s="2" t="str">
        <f>IF(Tabla1[[#This Row],[Aprobación_Veterinaria]]=1,"APROBADO","NO APROBADO")</f>
        <v>APROBADO</v>
      </c>
      <c r="O113" t="str">
        <f>IF(Tabla1[[#This Row],[Repite compra?]]=1,"REPITE","NO REPITE")</f>
        <v>NO REPITE</v>
      </c>
      <c r="P113" t="str">
        <f>IF(Tabla1[[#This Row],[rating_segun encuesta a Consumidor]]&lt;5,"Regular",IF(Tabla1[[#This Row],[rating_segun encuesta a Consumidor]]&gt;8,"Excelente","Bueno"))</f>
        <v>Bueno</v>
      </c>
    </row>
    <row r="114" spans="1:16" x14ac:dyDescent="0.35">
      <c r="A114" s="1">
        <v>44156</v>
      </c>
      <c r="B114">
        <v>4674</v>
      </c>
      <c r="C114" t="s">
        <v>46</v>
      </c>
      <c r="D114">
        <v>49</v>
      </c>
      <c r="E114">
        <v>195.56399999999999</v>
      </c>
      <c r="F114">
        <v>0</v>
      </c>
      <c r="G114" t="s">
        <v>24</v>
      </c>
      <c r="H114" t="s">
        <v>22</v>
      </c>
      <c r="I114" t="s">
        <v>28</v>
      </c>
      <c r="J114" t="s">
        <v>29</v>
      </c>
      <c r="K114">
        <v>10</v>
      </c>
      <c r="L114">
        <v>0</v>
      </c>
      <c r="M114" s="2">
        <f t="shared" si="1"/>
        <v>9582.6360000000004</v>
      </c>
      <c r="N114" s="2" t="str">
        <f>IF(Tabla1[[#This Row],[Aprobación_Veterinaria]]=1,"APROBADO","NO APROBADO")</f>
        <v>NO APROBADO</v>
      </c>
      <c r="O114" t="str">
        <f>IF(Tabla1[[#This Row],[Repite compra?]]=1,"REPITE","NO REPITE")</f>
        <v>NO REPITE</v>
      </c>
      <c r="P114" t="str">
        <f>IF(Tabla1[[#This Row],[rating_segun encuesta a Consumidor]]&lt;5,"Regular",IF(Tabla1[[#This Row],[rating_segun encuesta a Consumidor]]&gt;8,"Excelente","Bueno"))</f>
        <v>Excelente</v>
      </c>
    </row>
    <row r="115" spans="1:16" x14ac:dyDescent="0.35">
      <c r="A115" s="1">
        <v>43965</v>
      </c>
      <c r="B115">
        <v>4628</v>
      </c>
      <c r="C115" t="s">
        <v>26</v>
      </c>
      <c r="D115">
        <v>161</v>
      </c>
      <c r="E115">
        <v>146.256</v>
      </c>
      <c r="F115">
        <v>1</v>
      </c>
      <c r="G115" t="s">
        <v>27</v>
      </c>
      <c r="H115" t="s">
        <v>22</v>
      </c>
      <c r="I115" t="s">
        <v>41</v>
      </c>
      <c r="J115" t="s">
        <v>29</v>
      </c>
      <c r="K115">
        <v>10</v>
      </c>
      <c r="L115">
        <v>1</v>
      </c>
      <c r="M115" s="2">
        <f t="shared" si="1"/>
        <v>23547.216</v>
      </c>
      <c r="N115" s="2" t="str">
        <f>IF(Tabla1[[#This Row],[Aprobación_Veterinaria]]=1,"APROBADO","NO APROBADO")</f>
        <v>APROBADO</v>
      </c>
      <c r="O115" t="str">
        <f>IF(Tabla1[[#This Row],[Repite compra?]]=1,"REPITE","NO REPITE")</f>
        <v>REPITE</v>
      </c>
      <c r="P115" t="str">
        <f>IF(Tabla1[[#This Row],[rating_segun encuesta a Consumidor]]&lt;5,"Regular",IF(Tabla1[[#This Row],[rating_segun encuesta a Consumidor]]&gt;8,"Excelente","Bueno"))</f>
        <v>Excelente</v>
      </c>
    </row>
    <row r="116" spans="1:16" x14ac:dyDescent="0.35">
      <c r="A116" s="1">
        <v>44121</v>
      </c>
      <c r="B116">
        <v>4356</v>
      </c>
      <c r="C116" t="s">
        <v>32</v>
      </c>
      <c r="D116">
        <v>114</v>
      </c>
      <c r="E116">
        <v>150.92400000000001</v>
      </c>
      <c r="F116">
        <v>0</v>
      </c>
      <c r="G116" t="s">
        <v>31</v>
      </c>
      <c r="H116" t="s">
        <v>22</v>
      </c>
      <c r="I116" t="s">
        <v>45</v>
      </c>
      <c r="J116" t="s">
        <v>29</v>
      </c>
      <c r="K116">
        <v>1</v>
      </c>
      <c r="L116">
        <v>1</v>
      </c>
      <c r="M116" s="2">
        <f t="shared" si="1"/>
        <v>17205.335999999999</v>
      </c>
      <c r="N116" s="2" t="str">
        <f>IF(Tabla1[[#This Row],[Aprobación_Veterinaria]]=1,"APROBADO","NO APROBADO")</f>
        <v>NO APROBADO</v>
      </c>
      <c r="O116" t="str">
        <f>IF(Tabla1[[#This Row],[Repite compra?]]=1,"REPITE","NO REPITE")</f>
        <v>REPITE</v>
      </c>
      <c r="P116" t="str">
        <f>IF(Tabla1[[#This Row],[rating_segun encuesta a Consumidor]]&lt;5,"Regular",IF(Tabla1[[#This Row],[rating_segun encuesta a Consumidor]]&gt;8,"Excelente","Bueno"))</f>
        <v>Regular</v>
      </c>
    </row>
    <row r="117" spans="1:16" x14ac:dyDescent="0.35">
      <c r="A117" s="1">
        <v>44177</v>
      </c>
      <c r="B117">
        <v>4289</v>
      </c>
      <c r="C117" t="s">
        <v>46</v>
      </c>
      <c r="D117">
        <v>160</v>
      </c>
      <c r="E117">
        <v>152.64000000000001</v>
      </c>
      <c r="F117">
        <v>1</v>
      </c>
      <c r="G117" t="s">
        <v>33</v>
      </c>
      <c r="H117" t="s">
        <v>22</v>
      </c>
      <c r="I117" t="s">
        <v>28</v>
      </c>
      <c r="J117" t="s">
        <v>19</v>
      </c>
      <c r="K117">
        <v>6</v>
      </c>
      <c r="L117">
        <v>0</v>
      </c>
      <c r="M117" s="2">
        <f t="shared" si="1"/>
        <v>24422.400000000001</v>
      </c>
      <c r="N117" s="2" t="str">
        <f>IF(Tabla1[[#This Row],[Aprobación_Veterinaria]]=1,"APROBADO","NO APROBADO")</f>
        <v>APROBADO</v>
      </c>
      <c r="O117" t="str">
        <f>IF(Tabla1[[#This Row],[Repite compra?]]=1,"REPITE","NO REPITE")</f>
        <v>NO REPITE</v>
      </c>
      <c r="P117" t="str">
        <f>IF(Tabla1[[#This Row],[rating_segun encuesta a Consumidor]]&lt;5,"Regular",IF(Tabla1[[#This Row],[rating_segun encuesta a Consumidor]]&gt;8,"Excelente","Bueno"))</f>
        <v>Bueno</v>
      </c>
    </row>
    <row r="118" spans="1:16" x14ac:dyDescent="0.35">
      <c r="A118" s="1">
        <v>44098</v>
      </c>
      <c r="B118">
        <v>4696</v>
      </c>
      <c r="C118" t="s">
        <v>39</v>
      </c>
      <c r="D118">
        <v>155</v>
      </c>
      <c r="E118">
        <v>193.92000000000002</v>
      </c>
      <c r="F118">
        <v>1</v>
      </c>
      <c r="G118" t="s">
        <v>34</v>
      </c>
      <c r="H118" t="s">
        <v>48</v>
      </c>
      <c r="I118" t="s">
        <v>45</v>
      </c>
      <c r="J118" t="s">
        <v>29</v>
      </c>
      <c r="K118">
        <v>10</v>
      </c>
      <c r="L118">
        <v>0</v>
      </c>
      <c r="M118" s="2">
        <f t="shared" si="1"/>
        <v>30057.600000000002</v>
      </c>
      <c r="N118" s="2" t="str">
        <f>IF(Tabla1[[#This Row],[Aprobación_Veterinaria]]=1,"APROBADO","NO APROBADO")</f>
        <v>APROBADO</v>
      </c>
      <c r="O118" t="str">
        <f>IF(Tabla1[[#This Row],[Repite compra?]]=1,"REPITE","NO REPITE")</f>
        <v>NO REPITE</v>
      </c>
      <c r="P118" t="str">
        <f>IF(Tabla1[[#This Row],[rating_segun encuesta a Consumidor]]&lt;5,"Regular",IF(Tabla1[[#This Row],[rating_segun encuesta a Consumidor]]&gt;8,"Excelente","Bueno"))</f>
        <v>Excelente</v>
      </c>
    </row>
    <row r="119" spans="1:16" x14ac:dyDescent="0.35">
      <c r="A119" s="1">
        <v>44172</v>
      </c>
      <c r="B119">
        <v>4863</v>
      </c>
      <c r="C119" t="s">
        <v>15</v>
      </c>
      <c r="D119">
        <v>75</v>
      </c>
      <c r="E119">
        <v>20.148</v>
      </c>
      <c r="F119">
        <v>0</v>
      </c>
      <c r="G119" t="s">
        <v>36</v>
      </c>
      <c r="H119" t="s">
        <v>50</v>
      </c>
      <c r="I119" t="s">
        <v>41</v>
      </c>
      <c r="J119" t="s">
        <v>23</v>
      </c>
      <c r="K119">
        <v>6</v>
      </c>
      <c r="L119">
        <v>1</v>
      </c>
      <c r="M119" s="2">
        <f t="shared" si="1"/>
        <v>1511.1</v>
      </c>
      <c r="N119" s="2" t="str">
        <f>IF(Tabla1[[#This Row],[Aprobación_Veterinaria]]=1,"APROBADO","NO APROBADO")</f>
        <v>NO APROBADO</v>
      </c>
      <c r="O119" t="str">
        <f>IF(Tabla1[[#This Row],[Repite compra?]]=1,"REPITE","NO REPITE")</f>
        <v>REPITE</v>
      </c>
      <c r="P119" t="str">
        <f>IF(Tabla1[[#This Row],[rating_segun encuesta a Consumidor]]&lt;5,"Regular",IF(Tabla1[[#This Row],[rating_segun encuesta a Consumidor]]&gt;8,"Excelente","Bueno"))</f>
        <v>Bueno</v>
      </c>
    </row>
    <row r="120" spans="1:16" x14ac:dyDescent="0.35">
      <c r="A120" s="1">
        <v>43927</v>
      </c>
      <c r="B120">
        <v>4197</v>
      </c>
      <c r="C120" t="s">
        <v>47</v>
      </c>
      <c r="D120">
        <v>90</v>
      </c>
      <c r="E120">
        <v>29.94</v>
      </c>
      <c r="F120">
        <v>1</v>
      </c>
      <c r="G120" t="s">
        <v>37</v>
      </c>
      <c r="H120" t="s">
        <v>22</v>
      </c>
      <c r="I120" t="s">
        <v>18</v>
      </c>
      <c r="J120" t="s">
        <v>23</v>
      </c>
      <c r="K120">
        <v>8</v>
      </c>
      <c r="L120">
        <v>1</v>
      </c>
      <c r="M120" s="2">
        <f t="shared" si="1"/>
        <v>2694.6</v>
      </c>
      <c r="N120" s="2" t="str">
        <f>IF(Tabla1[[#This Row],[Aprobación_Veterinaria]]=1,"APROBADO","NO APROBADO")</f>
        <v>APROBADO</v>
      </c>
      <c r="O120" t="str">
        <f>IF(Tabla1[[#This Row],[Repite compra?]]=1,"REPITE","NO REPITE")</f>
        <v>REPITE</v>
      </c>
      <c r="P120" t="str">
        <f>IF(Tabla1[[#This Row],[rating_segun encuesta a Consumidor]]&lt;5,"Regular",IF(Tabla1[[#This Row],[rating_segun encuesta a Consumidor]]&gt;8,"Excelente","Bueno"))</f>
        <v>Bueno</v>
      </c>
    </row>
    <row r="121" spans="1:16" x14ac:dyDescent="0.35">
      <c r="A121" s="1">
        <v>44140</v>
      </c>
      <c r="B121">
        <v>4220</v>
      </c>
      <c r="C121" t="s">
        <v>43</v>
      </c>
      <c r="D121">
        <v>101</v>
      </c>
      <c r="E121">
        <v>182.1</v>
      </c>
      <c r="F121">
        <v>1</v>
      </c>
      <c r="G121" t="s">
        <v>40</v>
      </c>
      <c r="H121" t="s">
        <v>22</v>
      </c>
      <c r="I121" t="s">
        <v>35</v>
      </c>
      <c r="J121" t="s">
        <v>29</v>
      </c>
      <c r="K121">
        <v>2</v>
      </c>
      <c r="L121">
        <v>1</v>
      </c>
      <c r="M121" s="2">
        <f t="shared" si="1"/>
        <v>18392.099999999999</v>
      </c>
      <c r="N121" s="2" t="str">
        <f>IF(Tabla1[[#This Row],[Aprobación_Veterinaria]]=1,"APROBADO","NO APROBADO")</f>
        <v>APROBADO</v>
      </c>
      <c r="O121" t="str">
        <f>IF(Tabla1[[#This Row],[Repite compra?]]=1,"REPITE","NO REPITE")</f>
        <v>REPITE</v>
      </c>
      <c r="P121" t="str">
        <f>IF(Tabla1[[#This Row],[rating_segun encuesta a Consumidor]]&lt;5,"Regular",IF(Tabla1[[#This Row],[rating_segun encuesta a Consumidor]]&gt;8,"Excelente","Bueno"))</f>
        <v>Regular</v>
      </c>
    </row>
    <row r="122" spans="1:16" x14ac:dyDescent="0.35">
      <c r="A122" s="1">
        <v>44119</v>
      </c>
      <c r="B122">
        <v>4577</v>
      </c>
      <c r="C122" t="s">
        <v>42</v>
      </c>
      <c r="D122">
        <v>14</v>
      </c>
      <c r="E122">
        <v>122.04</v>
      </c>
      <c r="F122">
        <v>1</v>
      </c>
      <c r="G122" t="s">
        <v>16</v>
      </c>
      <c r="H122" t="s">
        <v>22</v>
      </c>
      <c r="I122" t="s">
        <v>18</v>
      </c>
      <c r="J122" t="s">
        <v>23</v>
      </c>
      <c r="K122">
        <v>10</v>
      </c>
      <c r="L122">
        <v>0</v>
      </c>
      <c r="M122" s="2">
        <f t="shared" si="1"/>
        <v>1708.5600000000002</v>
      </c>
      <c r="N122" s="2" t="str">
        <f>IF(Tabla1[[#This Row],[Aprobación_Veterinaria]]=1,"APROBADO","NO APROBADO")</f>
        <v>APROBADO</v>
      </c>
      <c r="O122" t="str">
        <f>IF(Tabla1[[#This Row],[Repite compra?]]=1,"REPITE","NO REPITE")</f>
        <v>NO REPITE</v>
      </c>
      <c r="P122" t="str">
        <f>IF(Tabla1[[#This Row],[rating_segun encuesta a Consumidor]]&lt;5,"Regular",IF(Tabla1[[#This Row],[rating_segun encuesta a Consumidor]]&gt;8,"Excelente","Bueno"))</f>
        <v>Excelente</v>
      </c>
    </row>
    <row r="123" spans="1:16" x14ac:dyDescent="0.35">
      <c r="A123" s="1">
        <v>43979</v>
      </c>
      <c r="B123">
        <v>4187</v>
      </c>
      <c r="C123" t="s">
        <v>43</v>
      </c>
      <c r="D123">
        <v>6</v>
      </c>
      <c r="E123">
        <v>100.008</v>
      </c>
      <c r="F123">
        <v>1</v>
      </c>
      <c r="G123" t="s">
        <v>21</v>
      </c>
      <c r="H123" t="s">
        <v>22</v>
      </c>
      <c r="I123" t="s">
        <v>18</v>
      </c>
      <c r="J123" t="s">
        <v>19</v>
      </c>
      <c r="K123">
        <v>5</v>
      </c>
      <c r="L123">
        <v>0</v>
      </c>
      <c r="M123" s="2">
        <f t="shared" si="1"/>
        <v>600.048</v>
      </c>
      <c r="N123" s="2" t="str">
        <f>IF(Tabla1[[#This Row],[Aprobación_Veterinaria]]=1,"APROBADO","NO APROBADO")</f>
        <v>APROBADO</v>
      </c>
      <c r="O123" t="str">
        <f>IF(Tabla1[[#This Row],[Repite compra?]]=1,"REPITE","NO REPITE")</f>
        <v>NO REPITE</v>
      </c>
      <c r="P123" t="str">
        <f>IF(Tabla1[[#This Row],[rating_segun encuesta a Consumidor]]&lt;5,"Regular",IF(Tabla1[[#This Row],[rating_segun encuesta a Consumidor]]&gt;8,"Excelente","Bueno"))</f>
        <v>Bueno</v>
      </c>
    </row>
    <row r="124" spans="1:16" x14ac:dyDescent="0.35">
      <c r="A124" s="1">
        <v>43948</v>
      </c>
      <c r="B124">
        <v>4681</v>
      </c>
      <c r="C124" t="s">
        <v>39</v>
      </c>
      <c r="D124">
        <v>20</v>
      </c>
      <c r="E124">
        <v>90.623999999999995</v>
      </c>
      <c r="F124">
        <v>1</v>
      </c>
      <c r="G124" t="s">
        <v>24</v>
      </c>
      <c r="H124" t="s">
        <v>22</v>
      </c>
      <c r="I124" t="s">
        <v>45</v>
      </c>
      <c r="J124" t="s">
        <v>23</v>
      </c>
      <c r="K124">
        <v>10</v>
      </c>
      <c r="L124">
        <v>0</v>
      </c>
      <c r="M124" s="2">
        <f t="shared" si="1"/>
        <v>1812.48</v>
      </c>
      <c r="N124" s="2" t="str">
        <f>IF(Tabla1[[#This Row],[Aprobación_Veterinaria]]=1,"APROBADO","NO APROBADO")</f>
        <v>APROBADO</v>
      </c>
      <c r="O124" t="str">
        <f>IF(Tabla1[[#This Row],[Repite compra?]]=1,"REPITE","NO REPITE")</f>
        <v>NO REPITE</v>
      </c>
      <c r="P124" t="str">
        <f>IF(Tabla1[[#This Row],[rating_segun encuesta a Consumidor]]&lt;5,"Regular",IF(Tabla1[[#This Row],[rating_segun encuesta a Consumidor]]&gt;8,"Excelente","Bueno"))</f>
        <v>Excelente</v>
      </c>
    </row>
    <row r="125" spans="1:16" x14ac:dyDescent="0.35">
      <c r="A125" s="1">
        <v>43964</v>
      </c>
      <c r="B125">
        <v>4562</v>
      </c>
      <c r="C125" t="s">
        <v>26</v>
      </c>
      <c r="D125">
        <v>153</v>
      </c>
      <c r="E125">
        <v>190.28399999999999</v>
      </c>
      <c r="F125">
        <v>1</v>
      </c>
      <c r="G125" t="s">
        <v>27</v>
      </c>
      <c r="H125" t="s">
        <v>22</v>
      </c>
      <c r="I125" t="s">
        <v>18</v>
      </c>
      <c r="J125" t="s">
        <v>29</v>
      </c>
      <c r="K125">
        <v>10</v>
      </c>
      <c r="L125">
        <v>0</v>
      </c>
      <c r="M125" s="2">
        <f t="shared" si="1"/>
        <v>29113.451999999997</v>
      </c>
      <c r="N125" s="2" t="str">
        <f>IF(Tabla1[[#This Row],[Aprobación_Veterinaria]]=1,"APROBADO","NO APROBADO")</f>
        <v>APROBADO</v>
      </c>
      <c r="O125" t="str">
        <f>IF(Tabla1[[#This Row],[Repite compra?]]=1,"REPITE","NO REPITE")</f>
        <v>NO REPITE</v>
      </c>
      <c r="P125" t="str">
        <f>IF(Tabla1[[#This Row],[rating_segun encuesta a Consumidor]]&lt;5,"Regular",IF(Tabla1[[#This Row],[rating_segun encuesta a Consumidor]]&gt;8,"Excelente","Bueno"))</f>
        <v>Excelente</v>
      </c>
    </row>
    <row r="126" spans="1:16" x14ac:dyDescent="0.35">
      <c r="A126" s="1">
        <v>44171</v>
      </c>
      <c r="B126">
        <v>4453</v>
      </c>
      <c r="C126" t="s">
        <v>15</v>
      </c>
      <c r="D126">
        <v>188</v>
      </c>
      <c r="E126">
        <v>124.068</v>
      </c>
      <c r="F126">
        <v>0</v>
      </c>
      <c r="G126" t="s">
        <v>31</v>
      </c>
      <c r="H126" t="s">
        <v>22</v>
      </c>
      <c r="I126" t="s">
        <v>41</v>
      </c>
      <c r="J126" t="s">
        <v>23</v>
      </c>
      <c r="K126">
        <v>5</v>
      </c>
      <c r="L126">
        <v>0</v>
      </c>
      <c r="M126" s="2">
        <f t="shared" si="1"/>
        <v>23324.784</v>
      </c>
      <c r="N126" s="2" t="str">
        <f>IF(Tabla1[[#This Row],[Aprobación_Veterinaria]]=1,"APROBADO","NO APROBADO")</f>
        <v>NO APROBADO</v>
      </c>
      <c r="O126" t="str">
        <f>IF(Tabla1[[#This Row],[Repite compra?]]=1,"REPITE","NO REPITE")</f>
        <v>NO REPITE</v>
      </c>
      <c r="P126" t="str">
        <f>IF(Tabla1[[#This Row],[rating_segun encuesta a Consumidor]]&lt;5,"Regular",IF(Tabla1[[#This Row],[rating_segun encuesta a Consumidor]]&gt;8,"Excelente","Bueno"))</f>
        <v>Bueno</v>
      </c>
    </row>
    <row r="127" spans="1:16" x14ac:dyDescent="0.35">
      <c r="A127" s="1">
        <v>44033</v>
      </c>
      <c r="B127">
        <v>4858</v>
      </c>
      <c r="C127" t="s">
        <v>26</v>
      </c>
      <c r="D127">
        <v>166</v>
      </c>
      <c r="E127">
        <v>79.463999999999999</v>
      </c>
      <c r="F127">
        <v>0</v>
      </c>
      <c r="G127" t="s">
        <v>33</v>
      </c>
      <c r="H127" t="s">
        <v>50</v>
      </c>
      <c r="I127" t="s">
        <v>18</v>
      </c>
      <c r="J127" t="s">
        <v>29</v>
      </c>
      <c r="K127">
        <v>1</v>
      </c>
      <c r="L127">
        <v>1</v>
      </c>
      <c r="M127" s="2">
        <f t="shared" si="1"/>
        <v>13191.023999999999</v>
      </c>
      <c r="N127" s="2" t="str">
        <f>IF(Tabla1[[#This Row],[Aprobación_Veterinaria]]=1,"APROBADO","NO APROBADO")</f>
        <v>NO APROBADO</v>
      </c>
      <c r="O127" t="str">
        <f>IF(Tabla1[[#This Row],[Repite compra?]]=1,"REPITE","NO REPITE")</f>
        <v>REPITE</v>
      </c>
      <c r="P127" t="str">
        <f>IF(Tabla1[[#This Row],[rating_segun encuesta a Consumidor]]&lt;5,"Regular",IF(Tabla1[[#This Row],[rating_segun encuesta a Consumidor]]&gt;8,"Excelente","Bueno"))</f>
        <v>Regular</v>
      </c>
    </row>
    <row r="128" spans="1:16" x14ac:dyDescent="0.35">
      <c r="A128" s="1">
        <v>44188</v>
      </c>
      <c r="B128">
        <v>4233</v>
      </c>
      <c r="C128" t="s">
        <v>15</v>
      </c>
      <c r="D128">
        <v>108</v>
      </c>
      <c r="E128">
        <v>148.38</v>
      </c>
      <c r="F128">
        <v>0</v>
      </c>
      <c r="G128" t="s">
        <v>34</v>
      </c>
      <c r="H128" t="s">
        <v>22</v>
      </c>
      <c r="I128" t="s">
        <v>41</v>
      </c>
      <c r="J128" t="s">
        <v>23</v>
      </c>
      <c r="K128">
        <v>3</v>
      </c>
      <c r="L128">
        <v>1</v>
      </c>
      <c r="M128" s="2">
        <f t="shared" si="1"/>
        <v>16025.039999999999</v>
      </c>
      <c r="N128" s="2" t="str">
        <f>IF(Tabla1[[#This Row],[Aprobación_Veterinaria]]=1,"APROBADO","NO APROBADO")</f>
        <v>NO APROBADO</v>
      </c>
      <c r="O128" t="str">
        <f>IF(Tabla1[[#This Row],[Repite compra?]]=1,"REPITE","NO REPITE")</f>
        <v>REPITE</v>
      </c>
      <c r="P128" t="str">
        <f>IF(Tabla1[[#This Row],[rating_segun encuesta a Consumidor]]&lt;5,"Regular",IF(Tabla1[[#This Row],[rating_segun encuesta a Consumidor]]&gt;8,"Excelente","Bueno"))</f>
        <v>Regular</v>
      </c>
    </row>
    <row r="129" spans="1:16" x14ac:dyDescent="0.35">
      <c r="A129" s="1">
        <v>43835</v>
      </c>
      <c r="B129">
        <v>5015</v>
      </c>
      <c r="C129" t="s">
        <v>20</v>
      </c>
      <c r="D129">
        <v>59</v>
      </c>
      <c r="E129">
        <v>32.363999999999997</v>
      </c>
      <c r="F129">
        <v>1</v>
      </c>
      <c r="G129" t="s">
        <v>36</v>
      </c>
      <c r="H129" t="s">
        <v>44</v>
      </c>
      <c r="I129" t="s">
        <v>41</v>
      </c>
      <c r="J129" t="s">
        <v>49</v>
      </c>
      <c r="K129">
        <v>6</v>
      </c>
      <c r="L129">
        <v>1</v>
      </c>
      <c r="M129" s="2">
        <f t="shared" si="1"/>
        <v>1909.4759999999999</v>
      </c>
      <c r="N129" s="2" t="str">
        <f>IF(Tabla1[[#This Row],[Aprobación_Veterinaria]]=1,"APROBADO","NO APROBADO")</f>
        <v>APROBADO</v>
      </c>
      <c r="O129" t="str">
        <f>IF(Tabla1[[#This Row],[Repite compra?]]=1,"REPITE","NO REPITE")</f>
        <v>REPITE</v>
      </c>
      <c r="P129" t="str">
        <f>IF(Tabla1[[#This Row],[rating_segun encuesta a Consumidor]]&lt;5,"Regular",IF(Tabla1[[#This Row],[rating_segun encuesta a Consumidor]]&gt;8,"Excelente","Bueno"))</f>
        <v>Bueno</v>
      </c>
    </row>
    <row r="130" spans="1:16" x14ac:dyDescent="0.35">
      <c r="A130" s="1">
        <v>44020</v>
      </c>
      <c r="B130">
        <v>4801</v>
      </c>
      <c r="C130" t="s">
        <v>26</v>
      </c>
      <c r="D130">
        <v>175</v>
      </c>
      <c r="E130">
        <v>54.300000000000004</v>
      </c>
      <c r="F130">
        <v>0</v>
      </c>
      <c r="G130" t="s">
        <v>37</v>
      </c>
      <c r="H130" t="s">
        <v>48</v>
      </c>
      <c r="I130" t="s">
        <v>41</v>
      </c>
      <c r="J130" t="s">
        <v>23</v>
      </c>
      <c r="K130">
        <v>7</v>
      </c>
      <c r="L130">
        <v>1</v>
      </c>
      <c r="M130" s="2">
        <f t="shared" ref="M130:M193" si="2">D130*E130</f>
        <v>9502.5</v>
      </c>
      <c r="N130" s="2" t="str">
        <f>IF(Tabla1[[#This Row],[Aprobación_Veterinaria]]=1,"APROBADO","NO APROBADO")</f>
        <v>NO APROBADO</v>
      </c>
      <c r="O130" t="str">
        <f>IF(Tabla1[[#This Row],[Repite compra?]]=1,"REPITE","NO REPITE")</f>
        <v>REPITE</v>
      </c>
      <c r="P130" t="str">
        <f>IF(Tabla1[[#This Row],[rating_segun encuesta a Consumidor]]&lt;5,"Regular",IF(Tabla1[[#This Row],[rating_segun encuesta a Consumidor]]&gt;8,"Excelente","Bueno"))</f>
        <v>Bueno</v>
      </c>
    </row>
    <row r="131" spans="1:16" x14ac:dyDescent="0.35">
      <c r="A131" s="1">
        <v>43912</v>
      </c>
      <c r="B131">
        <v>4717</v>
      </c>
      <c r="C131" t="s">
        <v>39</v>
      </c>
      <c r="D131">
        <v>78</v>
      </c>
      <c r="E131">
        <v>179.65200000000002</v>
      </c>
      <c r="F131">
        <v>1</v>
      </c>
      <c r="G131" t="s">
        <v>40</v>
      </c>
      <c r="H131" t="s">
        <v>38</v>
      </c>
      <c r="I131" t="s">
        <v>41</v>
      </c>
      <c r="J131" t="s">
        <v>23</v>
      </c>
      <c r="K131">
        <v>10</v>
      </c>
      <c r="L131">
        <v>1</v>
      </c>
      <c r="M131" s="2">
        <f t="shared" si="2"/>
        <v>14012.856000000002</v>
      </c>
      <c r="N131" s="2" t="str">
        <f>IF(Tabla1[[#This Row],[Aprobación_Veterinaria]]=1,"APROBADO","NO APROBADO")</f>
        <v>APROBADO</v>
      </c>
      <c r="O131" t="str">
        <f>IF(Tabla1[[#This Row],[Repite compra?]]=1,"REPITE","NO REPITE")</f>
        <v>REPITE</v>
      </c>
      <c r="P131" t="str">
        <f>IF(Tabla1[[#This Row],[rating_segun encuesta a Consumidor]]&lt;5,"Regular",IF(Tabla1[[#This Row],[rating_segun encuesta a Consumidor]]&gt;8,"Excelente","Bueno"))</f>
        <v>Excelente</v>
      </c>
    </row>
    <row r="132" spans="1:16" x14ac:dyDescent="0.35">
      <c r="A132" s="1">
        <v>44046</v>
      </c>
      <c r="B132">
        <v>4198</v>
      </c>
      <c r="C132" t="s">
        <v>43</v>
      </c>
      <c r="D132">
        <v>87</v>
      </c>
      <c r="E132">
        <v>110.304</v>
      </c>
      <c r="F132">
        <v>1</v>
      </c>
      <c r="G132" t="s">
        <v>16</v>
      </c>
      <c r="H132" t="s">
        <v>22</v>
      </c>
      <c r="I132" t="s">
        <v>41</v>
      </c>
      <c r="J132" t="s">
        <v>53</v>
      </c>
      <c r="K132">
        <v>9</v>
      </c>
      <c r="L132">
        <v>0</v>
      </c>
      <c r="M132" s="2">
        <f t="shared" si="2"/>
        <v>9596.4480000000003</v>
      </c>
      <c r="N132" s="2" t="str">
        <f>IF(Tabla1[[#This Row],[Aprobación_Veterinaria]]=1,"APROBADO","NO APROBADO")</f>
        <v>APROBADO</v>
      </c>
      <c r="O132" t="str">
        <f>IF(Tabla1[[#This Row],[Repite compra?]]=1,"REPITE","NO REPITE")</f>
        <v>NO REPITE</v>
      </c>
      <c r="P132" t="str">
        <f>IF(Tabla1[[#This Row],[rating_segun encuesta a Consumidor]]&lt;5,"Regular",IF(Tabla1[[#This Row],[rating_segun encuesta a Consumidor]]&gt;8,"Excelente","Bueno"))</f>
        <v>Excelente</v>
      </c>
    </row>
    <row r="133" spans="1:16" x14ac:dyDescent="0.35">
      <c r="A133" s="1">
        <v>43890</v>
      </c>
      <c r="B133">
        <v>4980</v>
      </c>
      <c r="C133" t="s">
        <v>15</v>
      </c>
      <c r="D133">
        <v>126</v>
      </c>
      <c r="E133">
        <v>35.783999999999999</v>
      </c>
      <c r="F133">
        <v>0</v>
      </c>
      <c r="G133" t="s">
        <v>21</v>
      </c>
      <c r="H133" t="s">
        <v>44</v>
      </c>
      <c r="I133" t="s">
        <v>18</v>
      </c>
      <c r="J133" t="s">
        <v>19</v>
      </c>
      <c r="K133">
        <v>6</v>
      </c>
      <c r="L133">
        <v>0</v>
      </c>
      <c r="M133" s="2">
        <f t="shared" si="2"/>
        <v>4508.7839999999997</v>
      </c>
      <c r="N133" s="2" t="str">
        <f>IF(Tabla1[[#This Row],[Aprobación_Veterinaria]]=1,"APROBADO","NO APROBADO")</f>
        <v>NO APROBADO</v>
      </c>
      <c r="O133" t="str">
        <f>IF(Tabla1[[#This Row],[Repite compra?]]=1,"REPITE","NO REPITE")</f>
        <v>NO REPITE</v>
      </c>
      <c r="P133" t="str">
        <f>IF(Tabla1[[#This Row],[rating_segun encuesta a Consumidor]]&lt;5,"Regular",IF(Tabla1[[#This Row],[rating_segun encuesta a Consumidor]]&gt;8,"Excelente","Bueno"))</f>
        <v>Bueno</v>
      </c>
    </row>
    <row r="134" spans="1:16" x14ac:dyDescent="0.35">
      <c r="A134" s="1">
        <v>43839</v>
      </c>
      <c r="B134">
        <v>4315</v>
      </c>
      <c r="C134" t="s">
        <v>39</v>
      </c>
      <c r="D134">
        <v>207</v>
      </c>
      <c r="E134">
        <v>128.76</v>
      </c>
      <c r="F134">
        <v>1</v>
      </c>
      <c r="G134" t="s">
        <v>24</v>
      </c>
      <c r="H134" t="s">
        <v>22</v>
      </c>
      <c r="I134" t="s">
        <v>35</v>
      </c>
      <c r="J134" t="s">
        <v>23</v>
      </c>
      <c r="K134">
        <v>2</v>
      </c>
      <c r="L134">
        <v>0</v>
      </c>
      <c r="M134" s="2">
        <f t="shared" si="2"/>
        <v>26653.32</v>
      </c>
      <c r="N134" s="2" t="str">
        <f>IF(Tabla1[[#This Row],[Aprobación_Veterinaria]]=1,"APROBADO","NO APROBADO")</f>
        <v>APROBADO</v>
      </c>
      <c r="O134" t="str">
        <f>IF(Tabla1[[#This Row],[Repite compra?]]=1,"REPITE","NO REPITE")</f>
        <v>NO REPITE</v>
      </c>
      <c r="P134" t="str">
        <f>IF(Tabla1[[#This Row],[rating_segun encuesta a Consumidor]]&lt;5,"Regular",IF(Tabla1[[#This Row],[rating_segun encuesta a Consumidor]]&gt;8,"Excelente","Bueno"))</f>
        <v>Regular</v>
      </c>
    </row>
    <row r="135" spans="1:16" x14ac:dyDescent="0.35">
      <c r="A135" s="1">
        <v>44113</v>
      </c>
      <c r="B135">
        <v>4592</v>
      </c>
      <c r="C135" t="s">
        <v>51</v>
      </c>
      <c r="D135">
        <v>34</v>
      </c>
      <c r="E135">
        <v>109.14</v>
      </c>
      <c r="F135">
        <v>0</v>
      </c>
      <c r="G135" t="s">
        <v>27</v>
      </c>
      <c r="H135" t="s">
        <v>22</v>
      </c>
      <c r="I135" t="s">
        <v>18</v>
      </c>
      <c r="J135" t="s">
        <v>29</v>
      </c>
      <c r="K135">
        <v>10</v>
      </c>
      <c r="L135">
        <v>0</v>
      </c>
      <c r="M135" s="2">
        <f t="shared" si="2"/>
        <v>3710.76</v>
      </c>
      <c r="N135" s="2" t="str">
        <f>IF(Tabla1[[#This Row],[Aprobación_Veterinaria]]=1,"APROBADO","NO APROBADO")</f>
        <v>NO APROBADO</v>
      </c>
      <c r="O135" t="str">
        <f>IF(Tabla1[[#This Row],[Repite compra?]]=1,"REPITE","NO REPITE")</f>
        <v>NO REPITE</v>
      </c>
      <c r="P135" t="str">
        <f>IF(Tabla1[[#This Row],[rating_segun encuesta a Consumidor]]&lt;5,"Regular",IF(Tabla1[[#This Row],[rating_segun encuesta a Consumidor]]&gt;8,"Excelente","Bueno"))</f>
        <v>Excelente</v>
      </c>
    </row>
    <row r="136" spans="1:16" x14ac:dyDescent="0.35">
      <c r="A136" s="1">
        <v>43840</v>
      </c>
      <c r="B136">
        <v>4906</v>
      </c>
      <c r="C136" t="s">
        <v>26</v>
      </c>
      <c r="D136">
        <v>86</v>
      </c>
      <c r="E136">
        <v>149.74799999999999</v>
      </c>
      <c r="F136">
        <v>0</v>
      </c>
      <c r="G136" t="s">
        <v>31</v>
      </c>
      <c r="H136" t="s">
        <v>48</v>
      </c>
      <c r="I136" t="s">
        <v>18</v>
      </c>
      <c r="J136" t="s">
        <v>29</v>
      </c>
      <c r="K136">
        <v>6</v>
      </c>
      <c r="L136">
        <v>0</v>
      </c>
      <c r="M136" s="2">
        <f t="shared" si="2"/>
        <v>12878.328</v>
      </c>
      <c r="N136" s="2" t="str">
        <f>IF(Tabla1[[#This Row],[Aprobación_Veterinaria]]=1,"APROBADO","NO APROBADO")</f>
        <v>NO APROBADO</v>
      </c>
      <c r="O136" t="str">
        <f>IF(Tabla1[[#This Row],[Repite compra?]]=1,"REPITE","NO REPITE")</f>
        <v>NO REPITE</v>
      </c>
      <c r="P136" t="str">
        <f>IF(Tabla1[[#This Row],[rating_segun encuesta a Consumidor]]&lt;5,"Regular",IF(Tabla1[[#This Row],[rating_segun encuesta a Consumidor]]&gt;8,"Excelente","Bueno"))</f>
        <v>Bueno</v>
      </c>
    </row>
    <row r="137" spans="1:16" x14ac:dyDescent="0.35">
      <c r="A137" s="1">
        <v>43928</v>
      </c>
      <c r="B137">
        <v>4837</v>
      </c>
      <c r="C137" t="s">
        <v>26</v>
      </c>
      <c r="D137">
        <v>25</v>
      </c>
      <c r="E137">
        <v>13.152000000000001</v>
      </c>
      <c r="F137">
        <v>0</v>
      </c>
      <c r="G137" t="s">
        <v>33</v>
      </c>
      <c r="H137" t="s">
        <v>38</v>
      </c>
      <c r="I137" t="s">
        <v>41</v>
      </c>
      <c r="J137" t="s">
        <v>23</v>
      </c>
      <c r="K137">
        <v>2</v>
      </c>
      <c r="L137">
        <v>1</v>
      </c>
      <c r="M137" s="2">
        <f t="shared" si="2"/>
        <v>328.8</v>
      </c>
      <c r="N137" s="2" t="str">
        <f>IF(Tabla1[[#This Row],[Aprobación_Veterinaria]]=1,"APROBADO","NO APROBADO")</f>
        <v>NO APROBADO</v>
      </c>
      <c r="O137" t="str">
        <f>IF(Tabla1[[#This Row],[Repite compra?]]=1,"REPITE","NO REPITE")</f>
        <v>REPITE</v>
      </c>
      <c r="P137" t="str">
        <f>IF(Tabla1[[#This Row],[rating_segun encuesta a Consumidor]]&lt;5,"Regular",IF(Tabla1[[#This Row],[rating_segun encuesta a Consumidor]]&gt;8,"Excelente","Bueno"))</f>
        <v>Regular</v>
      </c>
    </row>
    <row r="138" spans="1:16" x14ac:dyDescent="0.35">
      <c r="A138" s="1">
        <v>44024</v>
      </c>
      <c r="B138">
        <v>4922</v>
      </c>
      <c r="C138" t="s">
        <v>20</v>
      </c>
      <c r="D138">
        <v>196</v>
      </c>
      <c r="E138">
        <v>204.38400000000001</v>
      </c>
      <c r="F138">
        <v>0</v>
      </c>
      <c r="G138" t="s">
        <v>34</v>
      </c>
      <c r="H138" t="s">
        <v>38</v>
      </c>
      <c r="I138" t="s">
        <v>18</v>
      </c>
      <c r="J138" t="s">
        <v>29</v>
      </c>
      <c r="K138">
        <v>6</v>
      </c>
      <c r="L138">
        <v>0</v>
      </c>
      <c r="M138" s="2">
        <f t="shared" si="2"/>
        <v>40059.264000000003</v>
      </c>
      <c r="N138" s="2" t="str">
        <f>IF(Tabla1[[#This Row],[Aprobación_Veterinaria]]=1,"APROBADO","NO APROBADO")</f>
        <v>NO APROBADO</v>
      </c>
      <c r="O138" t="str">
        <f>IF(Tabla1[[#This Row],[Repite compra?]]=1,"REPITE","NO REPITE")</f>
        <v>NO REPITE</v>
      </c>
      <c r="P138" t="str">
        <f>IF(Tabla1[[#This Row],[rating_segun encuesta a Consumidor]]&lt;5,"Regular",IF(Tabla1[[#This Row],[rating_segun encuesta a Consumidor]]&gt;8,"Excelente","Bueno"))</f>
        <v>Bueno</v>
      </c>
    </row>
    <row r="139" spans="1:16" x14ac:dyDescent="0.35">
      <c r="A139" s="1">
        <v>44017</v>
      </c>
      <c r="B139">
        <v>4870</v>
      </c>
      <c r="C139" t="s">
        <v>26</v>
      </c>
      <c r="D139">
        <v>36</v>
      </c>
      <c r="E139">
        <v>55.38</v>
      </c>
      <c r="F139">
        <v>0</v>
      </c>
      <c r="G139" t="s">
        <v>36</v>
      </c>
      <c r="H139" t="s">
        <v>44</v>
      </c>
      <c r="I139" t="s">
        <v>18</v>
      </c>
      <c r="J139" t="s">
        <v>29</v>
      </c>
      <c r="K139">
        <v>6</v>
      </c>
      <c r="L139">
        <v>0</v>
      </c>
      <c r="M139" s="2">
        <f t="shared" si="2"/>
        <v>1993.68</v>
      </c>
      <c r="N139" s="2" t="str">
        <f>IF(Tabla1[[#This Row],[Aprobación_Veterinaria]]=1,"APROBADO","NO APROBADO")</f>
        <v>NO APROBADO</v>
      </c>
      <c r="O139" t="str">
        <f>IF(Tabla1[[#This Row],[Repite compra?]]=1,"REPITE","NO REPITE")</f>
        <v>NO REPITE</v>
      </c>
      <c r="P139" t="str">
        <f>IF(Tabla1[[#This Row],[rating_segun encuesta a Consumidor]]&lt;5,"Regular",IF(Tabla1[[#This Row],[rating_segun encuesta a Consumidor]]&gt;8,"Excelente","Bueno"))</f>
        <v>Bueno</v>
      </c>
    </row>
    <row r="140" spans="1:16" x14ac:dyDescent="0.35">
      <c r="A140" s="1">
        <v>44076</v>
      </c>
      <c r="B140">
        <v>4634</v>
      </c>
      <c r="C140" t="s">
        <v>39</v>
      </c>
      <c r="D140">
        <v>49</v>
      </c>
      <c r="E140">
        <v>204.708</v>
      </c>
      <c r="F140">
        <v>1</v>
      </c>
      <c r="G140" t="s">
        <v>37</v>
      </c>
      <c r="H140" t="s">
        <v>22</v>
      </c>
      <c r="I140" t="s">
        <v>28</v>
      </c>
      <c r="J140" t="s">
        <v>29</v>
      </c>
      <c r="K140">
        <v>10</v>
      </c>
      <c r="L140">
        <v>0</v>
      </c>
      <c r="M140" s="2">
        <f t="shared" si="2"/>
        <v>10030.691999999999</v>
      </c>
      <c r="N140" s="2" t="str">
        <f>IF(Tabla1[[#This Row],[Aprobación_Veterinaria]]=1,"APROBADO","NO APROBADO")</f>
        <v>APROBADO</v>
      </c>
      <c r="O140" t="str">
        <f>IF(Tabla1[[#This Row],[Repite compra?]]=1,"REPITE","NO REPITE")</f>
        <v>NO REPITE</v>
      </c>
      <c r="P140" t="str">
        <f>IF(Tabla1[[#This Row],[rating_segun encuesta a Consumidor]]&lt;5,"Regular",IF(Tabla1[[#This Row],[rating_segun encuesta a Consumidor]]&gt;8,"Excelente","Bueno"))</f>
        <v>Excelente</v>
      </c>
    </row>
    <row r="141" spans="1:16" x14ac:dyDescent="0.35">
      <c r="A141" s="1">
        <v>43985</v>
      </c>
      <c r="B141">
        <v>4716</v>
      </c>
      <c r="C141" t="s">
        <v>43</v>
      </c>
      <c r="D141">
        <v>99</v>
      </c>
      <c r="E141">
        <v>54.372</v>
      </c>
      <c r="F141">
        <v>0</v>
      </c>
      <c r="G141" t="s">
        <v>40</v>
      </c>
      <c r="H141" t="s">
        <v>48</v>
      </c>
      <c r="I141" t="s">
        <v>18</v>
      </c>
      <c r="J141" t="s">
        <v>29</v>
      </c>
      <c r="K141">
        <v>10</v>
      </c>
      <c r="L141">
        <v>0</v>
      </c>
      <c r="M141" s="2">
        <f t="shared" si="2"/>
        <v>5382.8280000000004</v>
      </c>
      <c r="N141" s="2" t="str">
        <f>IF(Tabla1[[#This Row],[Aprobación_Veterinaria]]=1,"APROBADO","NO APROBADO")</f>
        <v>NO APROBADO</v>
      </c>
      <c r="O141" t="str">
        <f>IF(Tabla1[[#This Row],[Repite compra?]]=1,"REPITE","NO REPITE")</f>
        <v>NO REPITE</v>
      </c>
      <c r="P141" t="str">
        <f>IF(Tabla1[[#This Row],[rating_segun encuesta a Consumidor]]&lt;5,"Regular",IF(Tabla1[[#This Row],[rating_segun encuesta a Consumidor]]&gt;8,"Excelente","Bueno"))</f>
        <v>Excelente</v>
      </c>
    </row>
    <row r="142" spans="1:16" x14ac:dyDescent="0.35">
      <c r="A142" s="1">
        <v>43995</v>
      </c>
      <c r="B142">
        <v>4269</v>
      </c>
      <c r="C142" t="s">
        <v>42</v>
      </c>
      <c r="D142">
        <v>183</v>
      </c>
      <c r="E142">
        <v>196.452</v>
      </c>
      <c r="F142">
        <v>1</v>
      </c>
      <c r="G142" t="s">
        <v>16</v>
      </c>
      <c r="H142" t="s">
        <v>22</v>
      </c>
      <c r="I142" t="s">
        <v>28</v>
      </c>
      <c r="J142" t="s">
        <v>23</v>
      </c>
      <c r="K142">
        <v>2</v>
      </c>
      <c r="L142">
        <v>0</v>
      </c>
      <c r="M142" s="2">
        <f t="shared" si="2"/>
        <v>35950.716</v>
      </c>
      <c r="N142" s="2" t="str">
        <f>IF(Tabla1[[#This Row],[Aprobación_Veterinaria]]=1,"APROBADO","NO APROBADO")</f>
        <v>APROBADO</v>
      </c>
      <c r="O142" t="str">
        <f>IF(Tabla1[[#This Row],[Repite compra?]]=1,"REPITE","NO REPITE")</f>
        <v>NO REPITE</v>
      </c>
      <c r="P142" t="str">
        <f>IF(Tabla1[[#This Row],[rating_segun encuesta a Consumidor]]&lt;5,"Regular",IF(Tabla1[[#This Row],[rating_segun encuesta a Consumidor]]&gt;8,"Excelente","Bueno"))</f>
        <v>Regular</v>
      </c>
    </row>
    <row r="143" spans="1:16" x14ac:dyDescent="0.35">
      <c r="A143" s="1">
        <v>43877</v>
      </c>
      <c r="B143">
        <v>5004</v>
      </c>
      <c r="C143" t="s">
        <v>15</v>
      </c>
      <c r="D143">
        <v>116</v>
      </c>
      <c r="E143">
        <v>141.14400000000001</v>
      </c>
      <c r="F143">
        <v>1</v>
      </c>
      <c r="G143" t="s">
        <v>21</v>
      </c>
      <c r="H143" t="s">
        <v>54</v>
      </c>
      <c r="I143" t="s">
        <v>18</v>
      </c>
      <c r="J143" t="s">
        <v>19</v>
      </c>
      <c r="K143">
        <v>6</v>
      </c>
      <c r="L143">
        <v>0</v>
      </c>
      <c r="M143" s="2">
        <f t="shared" si="2"/>
        <v>16372.704000000002</v>
      </c>
      <c r="N143" s="2" t="str">
        <f>IF(Tabla1[[#This Row],[Aprobación_Veterinaria]]=1,"APROBADO","NO APROBADO")</f>
        <v>APROBADO</v>
      </c>
      <c r="O143" t="str">
        <f>IF(Tabla1[[#This Row],[Repite compra?]]=1,"REPITE","NO REPITE")</f>
        <v>NO REPITE</v>
      </c>
      <c r="P143" t="str">
        <f>IF(Tabla1[[#This Row],[rating_segun encuesta a Consumidor]]&lt;5,"Regular",IF(Tabla1[[#This Row],[rating_segun encuesta a Consumidor]]&gt;8,"Excelente","Bueno"))</f>
        <v>Bueno</v>
      </c>
    </row>
    <row r="144" spans="1:16" x14ac:dyDescent="0.35">
      <c r="A144" s="1">
        <v>43902</v>
      </c>
      <c r="B144">
        <v>4954</v>
      </c>
      <c r="C144" t="s">
        <v>26</v>
      </c>
      <c r="D144">
        <v>94</v>
      </c>
      <c r="E144">
        <v>3.6</v>
      </c>
      <c r="F144">
        <v>1</v>
      </c>
      <c r="G144" t="s">
        <v>24</v>
      </c>
      <c r="H144" t="s">
        <v>54</v>
      </c>
      <c r="I144" t="s">
        <v>18</v>
      </c>
      <c r="J144" t="s">
        <v>29</v>
      </c>
      <c r="K144">
        <v>6</v>
      </c>
      <c r="L144">
        <v>0</v>
      </c>
      <c r="M144" s="2">
        <f t="shared" si="2"/>
        <v>338.40000000000003</v>
      </c>
      <c r="N144" s="2" t="str">
        <f>IF(Tabla1[[#This Row],[Aprobación_Veterinaria]]=1,"APROBADO","NO APROBADO")</f>
        <v>APROBADO</v>
      </c>
      <c r="O144" t="str">
        <f>IF(Tabla1[[#This Row],[Repite compra?]]=1,"REPITE","NO REPITE")</f>
        <v>NO REPITE</v>
      </c>
      <c r="P144" t="str">
        <f>IF(Tabla1[[#This Row],[rating_segun encuesta a Consumidor]]&lt;5,"Regular",IF(Tabla1[[#This Row],[rating_segun encuesta a Consumidor]]&gt;8,"Excelente","Bueno"))</f>
        <v>Bueno</v>
      </c>
    </row>
    <row r="145" spans="1:16" x14ac:dyDescent="0.35">
      <c r="A145" s="1">
        <v>44015</v>
      </c>
      <c r="B145">
        <v>4796</v>
      </c>
      <c r="C145" t="s">
        <v>20</v>
      </c>
      <c r="D145">
        <v>80</v>
      </c>
      <c r="E145">
        <v>174.31200000000001</v>
      </c>
      <c r="F145">
        <v>1</v>
      </c>
      <c r="G145" t="s">
        <v>27</v>
      </c>
      <c r="H145" t="s">
        <v>48</v>
      </c>
      <c r="I145" t="s">
        <v>18</v>
      </c>
      <c r="J145" t="s">
        <v>29</v>
      </c>
      <c r="K145">
        <v>7</v>
      </c>
      <c r="L145">
        <v>1</v>
      </c>
      <c r="M145" s="2">
        <f t="shared" si="2"/>
        <v>13944.960000000001</v>
      </c>
      <c r="N145" s="2" t="str">
        <f>IF(Tabla1[[#This Row],[Aprobación_Veterinaria]]=1,"APROBADO","NO APROBADO")</f>
        <v>APROBADO</v>
      </c>
      <c r="O145" t="str">
        <f>IF(Tabla1[[#This Row],[Repite compra?]]=1,"REPITE","NO REPITE")</f>
        <v>REPITE</v>
      </c>
      <c r="P145" t="str">
        <f>IF(Tabla1[[#This Row],[rating_segun encuesta a Consumidor]]&lt;5,"Regular",IF(Tabla1[[#This Row],[rating_segun encuesta a Consumidor]]&gt;8,"Excelente","Bueno"))</f>
        <v>Bueno</v>
      </c>
    </row>
    <row r="146" spans="1:16" x14ac:dyDescent="0.35">
      <c r="A146" s="1">
        <v>43952</v>
      </c>
      <c r="B146">
        <v>4799</v>
      </c>
      <c r="C146" t="s">
        <v>20</v>
      </c>
      <c r="D146">
        <v>184</v>
      </c>
      <c r="E146">
        <v>156.26400000000001</v>
      </c>
      <c r="F146">
        <v>1</v>
      </c>
      <c r="G146" t="s">
        <v>31</v>
      </c>
      <c r="H146" t="s">
        <v>54</v>
      </c>
      <c r="I146" t="s">
        <v>41</v>
      </c>
      <c r="J146" t="s">
        <v>23</v>
      </c>
      <c r="K146">
        <v>7</v>
      </c>
      <c r="L146">
        <v>1</v>
      </c>
      <c r="M146" s="2">
        <f t="shared" si="2"/>
        <v>28752.576000000001</v>
      </c>
      <c r="N146" s="2" t="str">
        <f>IF(Tabla1[[#This Row],[Aprobación_Veterinaria]]=1,"APROBADO","NO APROBADO")</f>
        <v>APROBADO</v>
      </c>
      <c r="O146" t="str">
        <f>IF(Tabla1[[#This Row],[Repite compra?]]=1,"REPITE","NO REPITE")</f>
        <v>REPITE</v>
      </c>
      <c r="P146" t="str">
        <f>IF(Tabla1[[#This Row],[rating_segun encuesta a Consumidor]]&lt;5,"Regular",IF(Tabla1[[#This Row],[rating_segun encuesta a Consumidor]]&gt;8,"Excelente","Bueno"))</f>
        <v>Bueno</v>
      </c>
    </row>
    <row r="147" spans="1:16" x14ac:dyDescent="0.35">
      <c r="A147" s="1">
        <v>44158</v>
      </c>
      <c r="B147">
        <v>4240</v>
      </c>
      <c r="C147" t="s">
        <v>51</v>
      </c>
      <c r="D147">
        <v>180</v>
      </c>
      <c r="E147">
        <v>177.49199999999999</v>
      </c>
      <c r="F147">
        <v>0</v>
      </c>
      <c r="G147" t="s">
        <v>33</v>
      </c>
      <c r="H147" t="s">
        <v>22</v>
      </c>
      <c r="I147" t="s">
        <v>35</v>
      </c>
      <c r="J147" t="s">
        <v>53</v>
      </c>
      <c r="K147">
        <v>8</v>
      </c>
      <c r="L147">
        <v>0</v>
      </c>
      <c r="M147" s="2">
        <f t="shared" si="2"/>
        <v>31948.559999999998</v>
      </c>
      <c r="N147" s="2" t="str">
        <f>IF(Tabla1[[#This Row],[Aprobación_Veterinaria]]=1,"APROBADO","NO APROBADO")</f>
        <v>NO APROBADO</v>
      </c>
      <c r="O147" t="str">
        <f>IF(Tabla1[[#This Row],[Repite compra?]]=1,"REPITE","NO REPITE")</f>
        <v>NO REPITE</v>
      </c>
      <c r="P147" t="str">
        <f>IF(Tabla1[[#This Row],[rating_segun encuesta a Consumidor]]&lt;5,"Regular",IF(Tabla1[[#This Row],[rating_segun encuesta a Consumidor]]&gt;8,"Excelente","Bueno"))</f>
        <v>Bueno</v>
      </c>
    </row>
    <row r="148" spans="1:16" x14ac:dyDescent="0.35">
      <c r="A148" s="1">
        <v>44018</v>
      </c>
      <c r="B148">
        <v>4937</v>
      </c>
      <c r="C148" t="s">
        <v>20</v>
      </c>
      <c r="D148">
        <v>75</v>
      </c>
      <c r="E148">
        <v>102.96000000000001</v>
      </c>
      <c r="F148">
        <v>1</v>
      </c>
      <c r="G148" t="s">
        <v>34</v>
      </c>
      <c r="H148" t="s">
        <v>38</v>
      </c>
      <c r="I148" t="s">
        <v>41</v>
      </c>
      <c r="J148" t="s">
        <v>23</v>
      </c>
      <c r="K148">
        <v>6</v>
      </c>
      <c r="L148">
        <v>0</v>
      </c>
      <c r="M148" s="2">
        <f t="shared" si="2"/>
        <v>7722.0000000000009</v>
      </c>
      <c r="N148" s="2" t="str">
        <f>IF(Tabla1[[#This Row],[Aprobación_Veterinaria]]=1,"APROBADO","NO APROBADO")</f>
        <v>APROBADO</v>
      </c>
      <c r="O148" t="str">
        <f>IF(Tabla1[[#This Row],[Repite compra?]]=1,"REPITE","NO REPITE")</f>
        <v>NO REPITE</v>
      </c>
      <c r="P148" t="str">
        <f>IF(Tabla1[[#This Row],[rating_segun encuesta a Consumidor]]&lt;5,"Regular",IF(Tabla1[[#This Row],[rating_segun encuesta a Consumidor]]&gt;8,"Excelente","Bueno"))</f>
        <v>Bueno</v>
      </c>
    </row>
    <row r="149" spans="1:16" x14ac:dyDescent="0.35">
      <c r="A149" s="1">
        <v>43929</v>
      </c>
      <c r="B149">
        <v>4981</v>
      </c>
      <c r="C149" t="s">
        <v>26</v>
      </c>
      <c r="D149">
        <v>150</v>
      </c>
      <c r="E149">
        <v>198.97200000000001</v>
      </c>
      <c r="F149">
        <v>1</v>
      </c>
      <c r="G149" t="s">
        <v>36</v>
      </c>
      <c r="H149" t="s">
        <v>48</v>
      </c>
      <c r="I149" t="s">
        <v>41</v>
      </c>
      <c r="J149" t="s">
        <v>49</v>
      </c>
      <c r="K149">
        <v>6</v>
      </c>
      <c r="L149">
        <v>0</v>
      </c>
      <c r="M149" s="2">
        <f t="shared" si="2"/>
        <v>29845.800000000003</v>
      </c>
      <c r="N149" s="2" t="str">
        <f>IF(Tabla1[[#This Row],[Aprobación_Veterinaria]]=1,"APROBADO","NO APROBADO")</f>
        <v>APROBADO</v>
      </c>
      <c r="O149" t="str">
        <f>IF(Tabla1[[#This Row],[Repite compra?]]=1,"REPITE","NO REPITE")</f>
        <v>NO REPITE</v>
      </c>
      <c r="P149" t="str">
        <f>IF(Tabla1[[#This Row],[rating_segun encuesta a Consumidor]]&lt;5,"Regular",IF(Tabla1[[#This Row],[rating_segun encuesta a Consumidor]]&gt;8,"Excelente","Bueno"))</f>
        <v>Bueno</v>
      </c>
    </row>
    <row r="150" spans="1:16" x14ac:dyDescent="0.35">
      <c r="A150" s="1">
        <v>44126</v>
      </c>
      <c r="B150">
        <v>4790</v>
      </c>
      <c r="C150" t="s">
        <v>20</v>
      </c>
      <c r="D150">
        <v>79</v>
      </c>
      <c r="E150">
        <v>146.892</v>
      </c>
      <c r="F150">
        <v>1</v>
      </c>
      <c r="G150" t="s">
        <v>37</v>
      </c>
      <c r="H150" t="s">
        <v>44</v>
      </c>
      <c r="I150" t="s">
        <v>18</v>
      </c>
      <c r="J150" t="s">
        <v>29</v>
      </c>
      <c r="K150">
        <v>7</v>
      </c>
      <c r="L150">
        <v>0</v>
      </c>
      <c r="M150" s="2">
        <f t="shared" si="2"/>
        <v>11604.467999999999</v>
      </c>
      <c r="N150" s="2" t="str">
        <f>IF(Tabla1[[#This Row],[Aprobación_Veterinaria]]=1,"APROBADO","NO APROBADO")</f>
        <v>APROBADO</v>
      </c>
      <c r="O150" t="str">
        <f>IF(Tabla1[[#This Row],[Repite compra?]]=1,"REPITE","NO REPITE")</f>
        <v>NO REPITE</v>
      </c>
      <c r="P150" t="str">
        <f>IF(Tabla1[[#This Row],[rating_segun encuesta a Consumidor]]&lt;5,"Regular",IF(Tabla1[[#This Row],[rating_segun encuesta a Consumidor]]&gt;8,"Excelente","Bueno"))</f>
        <v>Bueno</v>
      </c>
    </row>
    <row r="151" spans="1:16" x14ac:dyDescent="0.35">
      <c r="A151" s="1">
        <v>44133</v>
      </c>
      <c r="B151">
        <v>4181</v>
      </c>
      <c r="C151" t="s">
        <v>42</v>
      </c>
      <c r="D151">
        <v>44</v>
      </c>
      <c r="E151">
        <v>37.764000000000003</v>
      </c>
      <c r="F151">
        <v>0</v>
      </c>
      <c r="G151" t="s">
        <v>40</v>
      </c>
      <c r="H151" t="s">
        <v>22</v>
      </c>
      <c r="I151" t="s">
        <v>45</v>
      </c>
      <c r="J151" t="s">
        <v>19</v>
      </c>
      <c r="K151">
        <v>8</v>
      </c>
      <c r="L151">
        <v>1</v>
      </c>
      <c r="M151" s="2">
        <f t="shared" si="2"/>
        <v>1661.6160000000002</v>
      </c>
      <c r="N151" s="2" t="str">
        <f>IF(Tabla1[[#This Row],[Aprobación_Veterinaria]]=1,"APROBADO","NO APROBADO")</f>
        <v>NO APROBADO</v>
      </c>
      <c r="O151" t="str">
        <f>IF(Tabla1[[#This Row],[Repite compra?]]=1,"REPITE","NO REPITE")</f>
        <v>REPITE</v>
      </c>
      <c r="P151" t="str">
        <f>IF(Tabla1[[#This Row],[rating_segun encuesta a Consumidor]]&lt;5,"Regular",IF(Tabla1[[#This Row],[rating_segun encuesta a Consumidor]]&gt;8,"Excelente","Bueno"))</f>
        <v>Bueno</v>
      </c>
    </row>
    <row r="152" spans="1:16" x14ac:dyDescent="0.35">
      <c r="A152" s="1">
        <v>44072</v>
      </c>
      <c r="B152">
        <v>4259</v>
      </c>
      <c r="C152" t="s">
        <v>20</v>
      </c>
      <c r="D152">
        <v>97</v>
      </c>
      <c r="E152">
        <v>89.328000000000003</v>
      </c>
      <c r="F152">
        <v>0</v>
      </c>
      <c r="G152" t="s">
        <v>16</v>
      </c>
      <c r="H152" t="s">
        <v>22</v>
      </c>
      <c r="I152" t="s">
        <v>28</v>
      </c>
      <c r="J152" t="s">
        <v>19</v>
      </c>
      <c r="K152">
        <v>8</v>
      </c>
      <c r="L152">
        <v>0</v>
      </c>
      <c r="M152" s="2">
        <f t="shared" si="2"/>
        <v>8664.8160000000007</v>
      </c>
      <c r="N152" s="2" t="str">
        <f>IF(Tabla1[[#This Row],[Aprobación_Veterinaria]]=1,"APROBADO","NO APROBADO")</f>
        <v>NO APROBADO</v>
      </c>
      <c r="O152" t="str">
        <f>IF(Tabla1[[#This Row],[Repite compra?]]=1,"REPITE","NO REPITE")</f>
        <v>NO REPITE</v>
      </c>
      <c r="P152" t="str">
        <f>IF(Tabla1[[#This Row],[rating_segun encuesta a Consumidor]]&lt;5,"Regular",IF(Tabla1[[#This Row],[rating_segun encuesta a Consumidor]]&gt;8,"Excelente","Bueno"))</f>
        <v>Bueno</v>
      </c>
    </row>
    <row r="153" spans="1:16" x14ac:dyDescent="0.35">
      <c r="A153" s="1">
        <v>43893</v>
      </c>
      <c r="B153">
        <v>5047</v>
      </c>
      <c r="C153" t="s">
        <v>26</v>
      </c>
      <c r="D153">
        <v>94</v>
      </c>
      <c r="E153">
        <v>146.43600000000001</v>
      </c>
      <c r="F153">
        <v>1</v>
      </c>
      <c r="G153" t="s">
        <v>21</v>
      </c>
      <c r="H153" t="s">
        <v>52</v>
      </c>
      <c r="I153" t="s">
        <v>41</v>
      </c>
      <c r="J153" t="s">
        <v>49</v>
      </c>
      <c r="K153">
        <v>7</v>
      </c>
      <c r="L153">
        <v>1</v>
      </c>
      <c r="M153" s="2">
        <f t="shared" si="2"/>
        <v>13764.984</v>
      </c>
      <c r="N153" s="2" t="str">
        <f>IF(Tabla1[[#This Row],[Aprobación_Veterinaria]]=1,"APROBADO","NO APROBADO")</f>
        <v>APROBADO</v>
      </c>
      <c r="O153" t="str">
        <f>IF(Tabla1[[#This Row],[Repite compra?]]=1,"REPITE","NO REPITE")</f>
        <v>REPITE</v>
      </c>
      <c r="P153" t="str">
        <f>IF(Tabla1[[#This Row],[rating_segun encuesta a Consumidor]]&lt;5,"Regular",IF(Tabla1[[#This Row],[rating_segun encuesta a Consumidor]]&gt;8,"Excelente","Bueno"))</f>
        <v>Bueno</v>
      </c>
    </row>
    <row r="154" spans="1:16" x14ac:dyDescent="0.35">
      <c r="A154" s="1">
        <v>44027</v>
      </c>
      <c r="B154">
        <v>4377</v>
      </c>
      <c r="C154" t="s">
        <v>46</v>
      </c>
      <c r="D154">
        <v>66</v>
      </c>
      <c r="E154">
        <v>201.792</v>
      </c>
      <c r="F154">
        <v>1</v>
      </c>
      <c r="G154" t="s">
        <v>24</v>
      </c>
      <c r="H154" t="s">
        <v>22</v>
      </c>
      <c r="I154" t="s">
        <v>18</v>
      </c>
      <c r="J154" t="s">
        <v>23</v>
      </c>
      <c r="K154">
        <v>8</v>
      </c>
      <c r="L154">
        <v>1</v>
      </c>
      <c r="M154" s="2">
        <f t="shared" si="2"/>
        <v>13318.272000000001</v>
      </c>
      <c r="N154" s="2" t="str">
        <f>IF(Tabla1[[#This Row],[Aprobación_Veterinaria]]=1,"APROBADO","NO APROBADO")</f>
        <v>APROBADO</v>
      </c>
      <c r="O154" t="str">
        <f>IF(Tabla1[[#This Row],[Repite compra?]]=1,"REPITE","NO REPITE")</f>
        <v>REPITE</v>
      </c>
      <c r="P154" t="str">
        <f>IF(Tabla1[[#This Row],[rating_segun encuesta a Consumidor]]&lt;5,"Regular",IF(Tabla1[[#This Row],[rating_segun encuesta a Consumidor]]&gt;8,"Excelente","Bueno"))</f>
        <v>Bueno</v>
      </c>
    </row>
    <row r="155" spans="1:16" x14ac:dyDescent="0.35">
      <c r="A155" s="1">
        <v>44087</v>
      </c>
      <c r="B155">
        <v>4537</v>
      </c>
      <c r="C155" t="s">
        <v>51</v>
      </c>
      <c r="D155">
        <v>61</v>
      </c>
      <c r="E155">
        <v>21.876000000000001</v>
      </c>
      <c r="F155">
        <v>0</v>
      </c>
      <c r="G155" t="s">
        <v>27</v>
      </c>
      <c r="H155" t="s">
        <v>22</v>
      </c>
      <c r="I155" t="s">
        <v>18</v>
      </c>
      <c r="J155" t="s">
        <v>23</v>
      </c>
      <c r="K155">
        <v>6</v>
      </c>
      <c r="L155">
        <v>0</v>
      </c>
      <c r="M155" s="2">
        <f t="shared" si="2"/>
        <v>1334.4360000000001</v>
      </c>
      <c r="N155" s="2" t="str">
        <f>IF(Tabla1[[#This Row],[Aprobación_Veterinaria]]=1,"APROBADO","NO APROBADO")</f>
        <v>NO APROBADO</v>
      </c>
      <c r="O155" t="str">
        <f>IF(Tabla1[[#This Row],[Repite compra?]]=1,"REPITE","NO REPITE")</f>
        <v>NO REPITE</v>
      </c>
      <c r="P155" t="str">
        <f>IF(Tabla1[[#This Row],[rating_segun encuesta a Consumidor]]&lt;5,"Regular",IF(Tabla1[[#This Row],[rating_segun encuesta a Consumidor]]&gt;8,"Excelente","Bueno"))</f>
        <v>Bueno</v>
      </c>
    </row>
    <row r="156" spans="1:16" x14ac:dyDescent="0.35">
      <c r="A156" s="1">
        <v>43843</v>
      </c>
      <c r="B156">
        <v>4624</v>
      </c>
      <c r="C156" t="s">
        <v>30</v>
      </c>
      <c r="D156">
        <v>70</v>
      </c>
      <c r="E156">
        <v>52.764000000000003</v>
      </c>
      <c r="F156">
        <v>1</v>
      </c>
      <c r="G156" t="s">
        <v>31</v>
      </c>
      <c r="H156" t="s">
        <v>22</v>
      </c>
      <c r="I156" t="s">
        <v>28</v>
      </c>
      <c r="J156" t="s">
        <v>29</v>
      </c>
      <c r="K156">
        <v>10</v>
      </c>
      <c r="L156">
        <v>0</v>
      </c>
      <c r="M156" s="2">
        <f t="shared" si="2"/>
        <v>3693.48</v>
      </c>
      <c r="N156" s="2" t="str">
        <f>IF(Tabla1[[#This Row],[Aprobación_Veterinaria]]=1,"APROBADO","NO APROBADO")</f>
        <v>APROBADO</v>
      </c>
      <c r="O156" t="str">
        <f>IF(Tabla1[[#This Row],[Repite compra?]]=1,"REPITE","NO REPITE")</f>
        <v>NO REPITE</v>
      </c>
      <c r="P156" t="str">
        <f>IF(Tabla1[[#This Row],[rating_segun encuesta a Consumidor]]&lt;5,"Regular",IF(Tabla1[[#This Row],[rating_segun encuesta a Consumidor]]&gt;8,"Excelente","Bueno"))</f>
        <v>Excelente</v>
      </c>
    </row>
    <row r="157" spans="1:16" x14ac:dyDescent="0.35">
      <c r="A157" s="1">
        <v>43926</v>
      </c>
      <c r="B157">
        <v>4951</v>
      </c>
      <c r="C157" t="s">
        <v>26</v>
      </c>
      <c r="D157">
        <v>190</v>
      </c>
      <c r="E157">
        <v>114.94800000000001</v>
      </c>
      <c r="F157">
        <v>1</v>
      </c>
      <c r="G157" t="s">
        <v>33</v>
      </c>
      <c r="H157" t="s">
        <v>48</v>
      </c>
      <c r="I157" t="s">
        <v>41</v>
      </c>
      <c r="J157" t="s">
        <v>23</v>
      </c>
      <c r="K157">
        <v>6</v>
      </c>
      <c r="L157">
        <v>0</v>
      </c>
      <c r="M157" s="2">
        <f t="shared" si="2"/>
        <v>21840.120000000003</v>
      </c>
      <c r="N157" s="2" t="str">
        <f>IF(Tabla1[[#This Row],[Aprobación_Veterinaria]]=1,"APROBADO","NO APROBADO")</f>
        <v>APROBADO</v>
      </c>
      <c r="O157" t="str">
        <f>IF(Tabla1[[#This Row],[Repite compra?]]=1,"REPITE","NO REPITE")</f>
        <v>NO REPITE</v>
      </c>
      <c r="P157" t="str">
        <f>IF(Tabla1[[#This Row],[rating_segun encuesta a Consumidor]]&lt;5,"Regular",IF(Tabla1[[#This Row],[rating_segun encuesta a Consumidor]]&gt;8,"Excelente","Bueno"))</f>
        <v>Bueno</v>
      </c>
    </row>
    <row r="158" spans="1:16" x14ac:dyDescent="0.35">
      <c r="A158" s="1">
        <v>44050</v>
      </c>
      <c r="B158">
        <v>4774</v>
      </c>
      <c r="C158" t="s">
        <v>26</v>
      </c>
      <c r="D158">
        <v>181</v>
      </c>
      <c r="E158">
        <v>48.492000000000004</v>
      </c>
      <c r="F158">
        <v>0</v>
      </c>
      <c r="G158" t="s">
        <v>34</v>
      </c>
      <c r="H158" t="s">
        <v>54</v>
      </c>
      <c r="I158" t="s">
        <v>18</v>
      </c>
      <c r="J158" t="s">
        <v>29</v>
      </c>
      <c r="K158">
        <v>7</v>
      </c>
      <c r="L158">
        <v>0</v>
      </c>
      <c r="M158" s="2">
        <f t="shared" si="2"/>
        <v>8777.0520000000015</v>
      </c>
      <c r="N158" s="2" t="str">
        <f>IF(Tabla1[[#This Row],[Aprobación_Veterinaria]]=1,"APROBADO","NO APROBADO")</f>
        <v>NO APROBADO</v>
      </c>
      <c r="O158" t="str">
        <f>IF(Tabla1[[#This Row],[Repite compra?]]=1,"REPITE","NO REPITE")</f>
        <v>NO REPITE</v>
      </c>
      <c r="P158" t="str">
        <f>IF(Tabla1[[#This Row],[rating_segun encuesta a Consumidor]]&lt;5,"Regular",IF(Tabla1[[#This Row],[rating_segun encuesta a Consumidor]]&gt;8,"Excelente","Bueno"))</f>
        <v>Bueno</v>
      </c>
    </row>
    <row r="159" spans="1:16" x14ac:dyDescent="0.35">
      <c r="A159" s="1">
        <v>43991</v>
      </c>
      <c r="B159">
        <v>4411</v>
      </c>
      <c r="C159" t="s">
        <v>32</v>
      </c>
      <c r="D159">
        <v>162</v>
      </c>
      <c r="E159">
        <v>30.864000000000001</v>
      </c>
      <c r="F159">
        <v>1</v>
      </c>
      <c r="G159" t="s">
        <v>36</v>
      </c>
      <c r="H159" t="s">
        <v>22</v>
      </c>
      <c r="I159" t="s">
        <v>45</v>
      </c>
      <c r="J159" t="s">
        <v>23</v>
      </c>
      <c r="K159">
        <v>2</v>
      </c>
      <c r="L159">
        <v>1</v>
      </c>
      <c r="M159" s="2">
        <f t="shared" si="2"/>
        <v>4999.9679999999998</v>
      </c>
      <c r="N159" s="2" t="str">
        <f>IF(Tabla1[[#This Row],[Aprobación_Veterinaria]]=1,"APROBADO","NO APROBADO")</f>
        <v>APROBADO</v>
      </c>
      <c r="O159" t="str">
        <f>IF(Tabla1[[#This Row],[Repite compra?]]=1,"REPITE","NO REPITE")</f>
        <v>REPITE</v>
      </c>
      <c r="P159" t="str">
        <f>IF(Tabla1[[#This Row],[rating_segun encuesta a Consumidor]]&lt;5,"Regular",IF(Tabla1[[#This Row],[rating_segun encuesta a Consumidor]]&gt;8,"Excelente","Bueno"))</f>
        <v>Regular</v>
      </c>
    </row>
    <row r="160" spans="1:16" x14ac:dyDescent="0.35">
      <c r="A160" s="1">
        <v>44144</v>
      </c>
      <c r="B160">
        <v>4953</v>
      </c>
      <c r="C160" t="s">
        <v>15</v>
      </c>
      <c r="D160">
        <v>46</v>
      </c>
      <c r="E160">
        <v>20.231999999999999</v>
      </c>
      <c r="F160">
        <v>0</v>
      </c>
      <c r="G160" t="s">
        <v>37</v>
      </c>
      <c r="H160" t="s">
        <v>50</v>
      </c>
      <c r="I160" t="s">
        <v>41</v>
      </c>
      <c r="J160" t="s">
        <v>23</v>
      </c>
      <c r="K160">
        <v>6</v>
      </c>
      <c r="L160">
        <v>0</v>
      </c>
      <c r="M160" s="2">
        <f t="shared" si="2"/>
        <v>930.67200000000003</v>
      </c>
      <c r="N160" s="2" t="str">
        <f>IF(Tabla1[[#This Row],[Aprobación_Veterinaria]]=1,"APROBADO","NO APROBADO")</f>
        <v>NO APROBADO</v>
      </c>
      <c r="O160" t="str">
        <f>IF(Tabla1[[#This Row],[Repite compra?]]=1,"REPITE","NO REPITE")</f>
        <v>NO REPITE</v>
      </c>
      <c r="P160" t="str">
        <f>IF(Tabla1[[#This Row],[rating_segun encuesta a Consumidor]]&lt;5,"Regular",IF(Tabla1[[#This Row],[rating_segun encuesta a Consumidor]]&gt;8,"Excelente","Bueno"))</f>
        <v>Bueno</v>
      </c>
    </row>
    <row r="161" spans="1:16" x14ac:dyDescent="0.35">
      <c r="A161" s="1">
        <v>43918</v>
      </c>
      <c r="B161">
        <v>4431</v>
      </c>
      <c r="C161" t="s">
        <v>15</v>
      </c>
      <c r="D161">
        <v>108</v>
      </c>
      <c r="E161">
        <v>162.30000000000001</v>
      </c>
      <c r="F161">
        <v>0</v>
      </c>
      <c r="G161" t="s">
        <v>40</v>
      </c>
      <c r="H161" t="s">
        <v>22</v>
      </c>
      <c r="I161" t="s">
        <v>45</v>
      </c>
      <c r="J161" t="s">
        <v>23</v>
      </c>
      <c r="K161">
        <v>4</v>
      </c>
      <c r="L161">
        <v>1</v>
      </c>
      <c r="M161" s="2">
        <f t="shared" si="2"/>
        <v>17528.400000000001</v>
      </c>
      <c r="N161" s="2" t="str">
        <f>IF(Tabla1[[#This Row],[Aprobación_Veterinaria]]=1,"APROBADO","NO APROBADO")</f>
        <v>NO APROBADO</v>
      </c>
      <c r="O161" t="str">
        <f>IF(Tabla1[[#This Row],[Repite compra?]]=1,"REPITE","NO REPITE")</f>
        <v>REPITE</v>
      </c>
      <c r="P161" t="str">
        <f>IF(Tabla1[[#This Row],[rating_segun encuesta a Consumidor]]&lt;5,"Regular",IF(Tabla1[[#This Row],[rating_segun encuesta a Consumidor]]&gt;8,"Excelente","Bueno"))</f>
        <v>Regular</v>
      </c>
    </row>
    <row r="162" spans="1:16" x14ac:dyDescent="0.35">
      <c r="A162" s="1">
        <v>43999</v>
      </c>
      <c r="B162">
        <v>4394</v>
      </c>
      <c r="C162" t="s">
        <v>51</v>
      </c>
      <c r="D162">
        <v>21</v>
      </c>
      <c r="E162">
        <v>43.68</v>
      </c>
      <c r="F162">
        <v>0</v>
      </c>
      <c r="G162" t="s">
        <v>16</v>
      </c>
      <c r="H162" t="s">
        <v>22</v>
      </c>
      <c r="I162" t="s">
        <v>28</v>
      </c>
      <c r="J162" t="s">
        <v>29</v>
      </c>
      <c r="K162">
        <v>6</v>
      </c>
      <c r="L162">
        <v>1</v>
      </c>
      <c r="M162" s="2">
        <f t="shared" si="2"/>
        <v>917.28</v>
      </c>
      <c r="N162" s="2" t="str">
        <f>IF(Tabla1[[#This Row],[Aprobación_Veterinaria]]=1,"APROBADO","NO APROBADO")</f>
        <v>NO APROBADO</v>
      </c>
      <c r="O162" t="str">
        <f>IF(Tabla1[[#This Row],[Repite compra?]]=1,"REPITE","NO REPITE")</f>
        <v>REPITE</v>
      </c>
      <c r="P162" t="str">
        <f>IF(Tabla1[[#This Row],[rating_segun encuesta a Consumidor]]&lt;5,"Regular",IF(Tabla1[[#This Row],[rating_segun encuesta a Consumidor]]&gt;8,"Excelente","Bueno"))</f>
        <v>Bueno</v>
      </c>
    </row>
    <row r="163" spans="1:16" x14ac:dyDescent="0.35">
      <c r="A163" s="1">
        <v>43953</v>
      </c>
      <c r="B163">
        <v>4765</v>
      </c>
      <c r="C163" t="s">
        <v>39</v>
      </c>
      <c r="D163">
        <v>149</v>
      </c>
      <c r="E163">
        <v>151.06800000000001</v>
      </c>
      <c r="F163">
        <v>1</v>
      </c>
      <c r="G163" t="s">
        <v>21</v>
      </c>
      <c r="H163" t="s">
        <v>44</v>
      </c>
      <c r="I163" t="s">
        <v>41</v>
      </c>
      <c r="J163" t="s">
        <v>23</v>
      </c>
      <c r="K163">
        <v>7</v>
      </c>
      <c r="L163">
        <v>1</v>
      </c>
      <c r="M163" s="2">
        <f t="shared" si="2"/>
        <v>22509.132000000001</v>
      </c>
      <c r="N163" s="2" t="str">
        <f>IF(Tabla1[[#This Row],[Aprobación_Veterinaria]]=1,"APROBADO","NO APROBADO")</f>
        <v>APROBADO</v>
      </c>
      <c r="O163" t="str">
        <f>IF(Tabla1[[#This Row],[Repite compra?]]=1,"REPITE","NO REPITE")</f>
        <v>REPITE</v>
      </c>
      <c r="P163" t="str">
        <f>IF(Tabla1[[#This Row],[rating_segun encuesta a Consumidor]]&lt;5,"Regular",IF(Tabla1[[#This Row],[rating_segun encuesta a Consumidor]]&gt;8,"Excelente","Bueno"))</f>
        <v>Bueno</v>
      </c>
    </row>
    <row r="164" spans="1:16" x14ac:dyDescent="0.35">
      <c r="A164" s="1">
        <v>44064</v>
      </c>
      <c r="B164">
        <v>4447</v>
      </c>
      <c r="C164" t="s">
        <v>39</v>
      </c>
      <c r="D164">
        <v>184</v>
      </c>
      <c r="E164">
        <v>73.236000000000004</v>
      </c>
      <c r="F164">
        <v>0</v>
      </c>
      <c r="G164" t="s">
        <v>24</v>
      </c>
      <c r="H164" t="s">
        <v>22</v>
      </c>
      <c r="I164" t="s">
        <v>18</v>
      </c>
      <c r="J164" t="s">
        <v>23</v>
      </c>
      <c r="K164">
        <v>5</v>
      </c>
      <c r="L164">
        <v>0</v>
      </c>
      <c r="M164" s="2">
        <f t="shared" si="2"/>
        <v>13475.424000000001</v>
      </c>
      <c r="N164" s="2" t="str">
        <f>IF(Tabla1[[#This Row],[Aprobación_Veterinaria]]=1,"APROBADO","NO APROBADO")</f>
        <v>NO APROBADO</v>
      </c>
      <c r="O164" t="str">
        <f>IF(Tabla1[[#This Row],[Repite compra?]]=1,"REPITE","NO REPITE")</f>
        <v>NO REPITE</v>
      </c>
      <c r="P164" t="str">
        <f>IF(Tabla1[[#This Row],[rating_segun encuesta a Consumidor]]&lt;5,"Regular",IF(Tabla1[[#This Row],[rating_segun encuesta a Consumidor]]&gt;8,"Excelente","Bueno"))</f>
        <v>Bueno</v>
      </c>
    </row>
    <row r="165" spans="1:16" x14ac:dyDescent="0.35">
      <c r="A165" s="1">
        <v>44132</v>
      </c>
      <c r="B165">
        <v>4335</v>
      </c>
      <c r="C165" t="s">
        <v>42</v>
      </c>
      <c r="D165">
        <v>153</v>
      </c>
      <c r="E165">
        <v>88.176000000000002</v>
      </c>
      <c r="F165">
        <v>0</v>
      </c>
      <c r="G165" t="s">
        <v>27</v>
      </c>
      <c r="H165" t="s">
        <v>22</v>
      </c>
      <c r="I165" t="s">
        <v>35</v>
      </c>
      <c r="J165" t="s">
        <v>23</v>
      </c>
      <c r="K165">
        <v>4</v>
      </c>
      <c r="L165">
        <v>0</v>
      </c>
      <c r="M165" s="2">
        <f t="shared" si="2"/>
        <v>13490.928</v>
      </c>
      <c r="N165" s="2" t="str">
        <f>IF(Tabla1[[#This Row],[Aprobación_Veterinaria]]=1,"APROBADO","NO APROBADO")</f>
        <v>NO APROBADO</v>
      </c>
      <c r="O165" t="str">
        <f>IF(Tabla1[[#This Row],[Repite compra?]]=1,"REPITE","NO REPITE")</f>
        <v>NO REPITE</v>
      </c>
      <c r="P165" t="str">
        <f>IF(Tabla1[[#This Row],[rating_segun encuesta a Consumidor]]&lt;5,"Regular",IF(Tabla1[[#This Row],[rating_segun encuesta a Consumidor]]&gt;8,"Excelente","Bueno"))</f>
        <v>Regular</v>
      </c>
    </row>
    <row r="166" spans="1:16" x14ac:dyDescent="0.35">
      <c r="A166" s="1">
        <v>44004</v>
      </c>
      <c r="B166">
        <v>4895</v>
      </c>
      <c r="C166" t="s">
        <v>20</v>
      </c>
      <c r="D166">
        <v>140</v>
      </c>
      <c r="E166">
        <v>47.244</v>
      </c>
      <c r="F166">
        <v>0</v>
      </c>
      <c r="G166" t="s">
        <v>31</v>
      </c>
      <c r="H166" t="s">
        <v>44</v>
      </c>
      <c r="I166" t="s">
        <v>41</v>
      </c>
      <c r="J166" t="s">
        <v>23</v>
      </c>
      <c r="K166">
        <v>6</v>
      </c>
      <c r="L166">
        <v>0</v>
      </c>
      <c r="M166" s="2">
        <f t="shared" si="2"/>
        <v>6614.16</v>
      </c>
      <c r="N166" s="2" t="str">
        <f>IF(Tabla1[[#This Row],[Aprobación_Veterinaria]]=1,"APROBADO","NO APROBADO")</f>
        <v>NO APROBADO</v>
      </c>
      <c r="O166" t="str">
        <f>IF(Tabla1[[#This Row],[Repite compra?]]=1,"REPITE","NO REPITE")</f>
        <v>NO REPITE</v>
      </c>
      <c r="P166" t="str">
        <f>IF(Tabla1[[#This Row],[rating_segun encuesta a Consumidor]]&lt;5,"Regular",IF(Tabla1[[#This Row],[rating_segun encuesta a Consumidor]]&gt;8,"Excelente","Bueno"))</f>
        <v>Bueno</v>
      </c>
    </row>
    <row r="167" spans="1:16" x14ac:dyDescent="0.35">
      <c r="A167" s="1">
        <v>44030</v>
      </c>
      <c r="B167">
        <v>4655</v>
      </c>
      <c r="C167" t="s">
        <v>20</v>
      </c>
      <c r="D167">
        <v>47</v>
      </c>
      <c r="E167">
        <v>53.015999999999998</v>
      </c>
      <c r="F167">
        <v>1</v>
      </c>
      <c r="G167" t="s">
        <v>33</v>
      </c>
      <c r="H167" t="s">
        <v>22</v>
      </c>
      <c r="I167" t="s">
        <v>35</v>
      </c>
      <c r="J167" t="s">
        <v>23</v>
      </c>
      <c r="K167">
        <v>10</v>
      </c>
      <c r="L167">
        <v>0</v>
      </c>
      <c r="M167" s="2">
        <f t="shared" si="2"/>
        <v>2491.752</v>
      </c>
      <c r="N167" s="2" t="str">
        <f>IF(Tabla1[[#This Row],[Aprobación_Veterinaria]]=1,"APROBADO","NO APROBADO")</f>
        <v>APROBADO</v>
      </c>
      <c r="O167" t="str">
        <f>IF(Tabla1[[#This Row],[Repite compra?]]=1,"REPITE","NO REPITE")</f>
        <v>NO REPITE</v>
      </c>
      <c r="P167" t="str">
        <f>IF(Tabla1[[#This Row],[rating_segun encuesta a Consumidor]]&lt;5,"Regular",IF(Tabla1[[#This Row],[rating_segun encuesta a Consumidor]]&gt;8,"Excelente","Bueno"))</f>
        <v>Excelente</v>
      </c>
    </row>
    <row r="168" spans="1:16" x14ac:dyDescent="0.35">
      <c r="A168" s="1">
        <v>44160</v>
      </c>
      <c r="B168">
        <v>4557</v>
      </c>
      <c r="C168" t="s">
        <v>39</v>
      </c>
      <c r="D168">
        <v>46</v>
      </c>
      <c r="E168">
        <v>170.60400000000001</v>
      </c>
      <c r="F168">
        <v>0</v>
      </c>
      <c r="G168" t="s">
        <v>34</v>
      </c>
      <c r="H168" t="s">
        <v>22</v>
      </c>
      <c r="I168" t="s">
        <v>18</v>
      </c>
      <c r="J168" t="s">
        <v>23</v>
      </c>
      <c r="K168">
        <v>10</v>
      </c>
      <c r="L168">
        <v>0</v>
      </c>
      <c r="M168" s="2">
        <f t="shared" si="2"/>
        <v>7847.7840000000006</v>
      </c>
      <c r="N168" s="2" t="str">
        <f>IF(Tabla1[[#This Row],[Aprobación_Veterinaria]]=1,"APROBADO","NO APROBADO")</f>
        <v>NO APROBADO</v>
      </c>
      <c r="O168" t="str">
        <f>IF(Tabla1[[#This Row],[Repite compra?]]=1,"REPITE","NO REPITE")</f>
        <v>NO REPITE</v>
      </c>
      <c r="P168" t="str">
        <f>IF(Tabla1[[#This Row],[rating_segun encuesta a Consumidor]]&lt;5,"Regular",IF(Tabla1[[#This Row],[rating_segun encuesta a Consumidor]]&gt;8,"Excelente","Bueno"))</f>
        <v>Excelente</v>
      </c>
    </row>
    <row r="169" spans="1:16" x14ac:dyDescent="0.35">
      <c r="A169" s="1">
        <v>43832</v>
      </c>
      <c r="B169">
        <v>4963</v>
      </c>
      <c r="C169" t="s">
        <v>26</v>
      </c>
      <c r="D169">
        <v>129</v>
      </c>
      <c r="E169">
        <v>145.06800000000001</v>
      </c>
      <c r="F169">
        <v>0</v>
      </c>
      <c r="G169" t="s">
        <v>36</v>
      </c>
      <c r="H169" t="s">
        <v>50</v>
      </c>
      <c r="I169" t="s">
        <v>41</v>
      </c>
      <c r="J169" t="s">
        <v>49</v>
      </c>
      <c r="K169">
        <v>6</v>
      </c>
      <c r="L169">
        <v>0</v>
      </c>
      <c r="M169" s="2">
        <f t="shared" si="2"/>
        <v>18713.772000000001</v>
      </c>
      <c r="N169" s="2" t="str">
        <f>IF(Tabla1[[#This Row],[Aprobación_Veterinaria]]=1,"APROBADO","NO APROBADO")</f>
        <v>NO APROBADO</v>
      </c>
      <c r="O169" t="str">
        <f>IF(Tabla1[[#This Row],[Repite compra?]]=1,"REPITE","NO REPITE")</f>
        <v>NO REPITE</v>
      </c>
      <c r="P169" t="str">
        <f>IF(Tabla1[[#This Row],[rating_segun encuesta a Consumidor]]&lt;5,"Regular",IF(Tabla1[[#This Row],[rating_segun encuesta a Consumidor]]&gt;8,"Excelente","Bueno"))</f>
        <v>Bueno</v>
      </c>
    </row>
    <row r="170" spans="1:16" x14ac:dyDescent="0.35">
      <c r="A170" s="1">
        <v>44005</v>
      </c>
      <c r="B170">
        <v>4871</v>
      </c>
      <c r="C170" t="s">
        <v>20</v>
      </c>
      <c r="D170">
        <v>42</v>
      </c>
      <c r="E170">
        <v>52.572000000000003</v>
      </c>
      <c r="F170">
        <v>1</v>
      </c>
      <c r="G170" t="s">
        <v>37</v>
      </c>
      <c r="H170" t="s">
        <v>48</v>
      </c>
      <c r="I170" t="s">
        <v>41</v>
      </c>
      <c r="J170" t="s">
        <v>23</v>
      </c>
      <c r="K170">
        <v>6</v>
      </c>
      <c r="L170">
        <v>0</v>
      </c>
      <c r="M170" s="2">
        <f t="shared" si="2"/>
        <v>2208.0240000000003</v>
      </c>
      <c r="N170" s="2" t="str">
        <f>IF(Tabla1[[#This Row],[Aprobación_Veterinaria]]=1,"APROBADO","NO APROBADO")</f>
        <v>APROBADO</v>
      </c>
      <c r="O170" t="str">
        <f>IF(Tabla1[[#This Row],[Repite compra?]]=1,"REPITE","NO REPITE")</f>
        <v>NO REPITE</v>
      </c>
      <c r="P170" t="str">
        <f>IF(Tabla1[[#This Row],[rating_segun encuesta a Consumidor]]&lt;5,"Regular",IF(Tabla1[[#This Row],[rating_segun encuesta a Consumidor]]&gt;8,"Excelente","Bueno"))</f>
        <v>Bueno</v>
      </c>
    </row>
    <row r="171" spans="1:16" x14ac:dyDescent="0.35">
      <c r="A171" s="1">
        <v>43968</v>
      </c>
      <c r="B171">
        <v>4244</v>
      </c>
      <c r="C171" t="s">
        <v>15</v>
      </c>
      <c r="D171">
        <v>31</v>
      </c>
      <c r="E171">
        <v>173.22</v>
      </c>
      <c r="F171">
        <v>0</v>
      </c>
      <c r="G171" t="s">
        <v>40</v>
      </c>
      <c r="H171" t="s">
        <v>22</v>
      </c>
      <c r="I171" t="s">
        <v>28</v>
      </c>
      <c r="J171" t="s">
        <v>29</v>
      </c>
      <c r="K171">
        <v>6</v>
      </c>
      <c r="L171">
        <v>1</v>
      </c>
      <c r="M171" s="2">
        <f t="shared" si="2"/>
        <v>5369.82</v>
      </c>
      <c r="N171" s="2" t="str">
        <f>IF(Tabla1[[#This Row],[Aprobación_Veterinaria]]=1,"APROBADO","NO APROBADO")</f>
        <v>NO APROBADO</v>
      </c>
      <c r="O171" t="str">
        <f>IF(Tabla1[[#This Row],[Repite compra?]]=1,"REPITE","NO REPITE")</f>
        <v>REPITE</v>
      </c>
      <c r="P171" t="str">
        <f>IF(Tabla1[[#This Row],[rating_segun encuesta a Consumidor]]&lt;5,"Regular",IF(Tabla1[[#This Row],[rating_segun encuesta a Consumidor]]&gt;8,"Excelente","Bueno"))</f>
        <v>Bueno</v>
      </c>
    </row>
    <row r="172" spans="1:16" x14ac:dyDescent="0.35">
      <c r="A172" s="1">
        <v>43992</v>
      </c>
      <c r="B172">
        <v>4419</v>
      </c>
      <c r="C172" t="s">
        <v>26</v>
      </c>
      <c r="D172">
        <v>64</v>
      </c>
      <c r="E172">
        <v>207.44400000000002</v>
      </c>
      <c r="F172">
        <v>1</v>
      </c>
      <c r="G172" t="s">
        <v>16</v>
      </c>
      <c r="H172" t="s">
        <v>22</v>
      </c>
      <c r="I172" t="s">
        <v>28</v>
      </c>
      <c r="J172" t="s">
        <v>23</v>
      </c>
      <c r="K172">
        <v>5</v>
      </c>
      <c r="L172">
        <v>1</v>
      </c>
      <c r="M172" s="2">
        <f t="shared" si="2"/>
        <v>13276.416000000001</v>
      </c>
      <c r="N172" s="2" t="str">
        <f>IF(Tabla1[[#This Row],[Aprobación_Veterinaria]]=1,"APROBADO","NO APROBADO")</f>
        <v>APROBADO</v>
      </c>
      <c r="O172" t="str">
        <f>IF(Tabla1[[#This Row],[Repite compra?]]=1,"REPITE","NO REPITE")</f>
        <v>REPITE</v>
      </c>
      <c r="P172" t="str">
        <f>IF(Tabla1[[#This Row],[rating_segun encuesta a Consumidor]]&lt;5,"Regular",IF(Tabla1[[#This Row],[rating_segun encuesta a Consumidor]]&gt;8,"Excelente","Bueno"))</f>
        <v>Bueno</v>
      </c>
    </row>
    <row r="173" spans="1:16" x14ac:dyDescent="0.35">
      <c r="A173" s="1">
        <v>43863</v>
      </c>
      <c r="B173">
        <v>4606</v>
      </c>
      <c r="C173" t="s">
        <v>26</v>
      </c>
      <c r="D173">
        <v>20</v>
      </c>
      <c r="E173">
        <v>197.58</v>
      </c>
      <c r="F173">
        <v>1</v>
      </c>
      <c r="G173" t="s">
        <v>21</v>
      </c>
      <c r="H173" t="s">
        <v>22</v>
      </c>
      <c r="I173" t="s">
        <v>45</v>
      </c>
      <c r="J173" t="s">
        <v>29</v>
      </c>
      <c r="K173">
        <v>10</v>
      </c>
      <c r="L173">
        <v>0</v>
      </c>
      <c r="M173" s="2">
        <f t="shared" si="2"/>
        <v>3951.6000000000004</v>
      </c>
      <c r="N173" s="2" t="str">
        <f>IF(Tabla1[[#This Row],[Aprobación_Veterinaria]]=1,"APROBADO","NO APROBADO")</f>
        <v>APROBADO</v>
      </c>
      <c r="O173" t="str">
        <f>IF(Tabla1[[#This Row],[Repite compra?]]=1,"REPITE","NO REPITE")</f>
        <v>NO REPITE</v>
      </c>
      <c r="P173" t="str">
        <f>IF(Tabla1[[#This Row],[rating_segun encuesta a Consumidor]]&lt;5,"Regular",IF(Tabla1[[#This Row],[rating_segun encuesta a Consumidor]]&gt;8,"Excelente","Bueno"))</f>
        <v>Excelente</v>
      </c>
    </row>
    <row r="174" spans="1:16" x14ac:dyDescent="0.35">
      <c r="A174" s="1">
        <v>44110</v>
      </c>
      <c r="B174">
        <v>4975</v>
      </c>
      <c r="C174" t="s">
        <v>26</v>
      </c>
      <c r="D174">
        <v>191</v>
      </c>
      <c r="E174">
        <v>115.524</v>
      </c>
      <c r="F174">
        <v>0</v>
      </c>
      <c r="G174" t="s">
        <v>24</v>
      </c>
      <c r="H174" t="s">
        <v>44</v>
      </c>
      <c r="I174" t="s">
        <v>41</v>
      </c>
      <c r="J174" t="s">
        <v>49</v>
      </c>
      <c r="K174">
        <v>6</v>
      </c>
      <c r="L174">
        <v>0</v>
      </c>
      <c r="M174" s="2">
        <f t="shared" si="2"/>
        <v>22065.083999999999</v>
      </c>
      <c r="N174" s="2" t="str">
        <f>IF(Tabla1[[#This Row],[Aprobación_Veterinaria]]=1,"APROBADO","NO APROBADO")</f>
        <v>NO APROBADO</v>
      </c>
      <c r="O174" t="str">
        <f>IF(Tabla1[[#This Row],[Repite compra?]]=1,"REPITE","NO REPITE")</f>
        <v>NO REPITE</v>
      </c>
      <c r="P174" t="str">
        <f>IF(Tabla1[[#This Row],[rating_segun encuesta a Consumidor]]&lt;5,"Regular",IF(Tabla1[[#This Row],[rating_segun encuesta a Consumidor]]&gt;8,"Excelente","Bueno"))</f>
        <v>Bueno</v>
      </c>
    </row>
    <row r="175" spans="1:16" x14ac:dyDescent="0.35">
      <c r="A175" s="1">
        <v>44147</v>
      </c>
      <c r="B175">
        <v>5033</v>
      </c>
      <c r="C175" t="s">
        <v>20</v>
      </c>
      <c r="D175">
        <v>79</v>
      </c>
      <c r="E175">
        <v>79.92</v>
      </c>
      <c r="F175">
        <v>1</v>
      </c>
      <c r="G175" t="s">
        <v>27</v>
      </c>
      <c r="H175" t="s">
        <v>52</v>
      </c>
      <c r="I175" t="s">
        <v>41</v>
      </c>
      <c r="J175" t="s">
        <v>49</v>
      </c>
      <c r="K175">
        <v>6</v>
      </c>
      <c r="L175">
        <v>1</v>
      </c>
      <c r="M175" s="2">
        <f t="shared" si="2"/>
        <v>6313.68</v>
      </c>
      <c r="N175" s="2" t="str">
        <f>IF(Tabla1[[#This Row],[Aprobación_Veterinaria]]=1,"APROBADO","NO APROBADO")</f>
        <v>APROBADO</v>
      </c>
      <c r="O175" t="str">
        <f>IF(Tabla1[[#This Row],[Repite compra?]]=1,"REPITE","NO REPITE")</f>
        <v>REPITE</v>
      </c>
      <c r="P175" t="str">
        <f>IF(Tabla1[[#This Row],[rating_segun encuesta a Consumidor]]&lt;5,"Regular",IF(Tabla1[[#This Row],[rating_segun encuesta a Consumidor]]&gt;8,"Excelente","Bueno"))</f>
        <v>Bueno</v>
      </c>
    </row>
    <row r="176" spans="1:16" x14ac:dyDescent="0.35">
      <c r="A176" s="1">
        <v>44016</v>
      </c>
      <c r="B176">
        <v>4358</v>
      </c>
      <c r="C176" t="s">
        <v>20</v>
      </c>
      <c r="D176">
        <v>3</v>
      </c>
      <c r="E176">
        <v>215.01599999999999</v>
      </c>
      <c r="F176">
        <v>0</v>
      </c>
      <c r="G176" t="s">
        <v>31</v>
      </c>
      <c r="H176" t="s">
        <v>22</v>
      </c>
      <c r="I176" t="s">
        <v>41</v>
      </c>
      <c r="J176" t="s">
        <v>29</v>
      </c>
      <c r="K176">
        <v>6</v>
      </c>
      <c r="L176">
        <v>0</v>
      </c>
      <c r="M176" s="2">
        <f t="shared" si="2"/>
        <v>645.048</v>
      </c>
      <c r="N176" s="2" t="str">
        <f>IF(Tabla1[[#This Row],[Aprobación_Veterinaria]]=1,"APROBADO","NO APROBADO")</f>
        <v>NO APROBADO</v>
      </c>
      <c r="O176" t="str">
        <f>IF(Tabla1[[#This Row],[Repite compra?]]=1,"REPITE","NO REPITE")</f>
        <v>NO REPITE</v>
      </c>
      <c r="P176" t="str">
        <f>IF(Tabla1[[#This Row],[rating_segun encuesta a Consumidor]]&lt;5,"Regular",IF(Tabla1[[#This Row],[rating_segun encuesta a Consumidor]]&gt;8,"Excelente","Bueno"))</f>
        <v>Bueno</v>
      </c>
    </row>
    <row r="177" spans="1:16" x14ac:dyDescent="0.35">
      <c r="A177" s="1">
        <v>44072</v>
      </c>
      <c r="B177">
        <v>4788</v>
      </c>
      <c r="C177" t="s">
        <v>15</v>
      </c>
      <c r="D177">
        <v>98</v>
      </c>
      <c r="E177">
        <v>24.996000000000002</v>
      </c>
      <c r="F177">
        <v>1</v>
      </c>
      <c r="G177" t="s">
        <v>33</v>
      </c>
      <c r="H177" t="s">
        <v>50</v>
      </c>
      <c r="I177" t="s">
        <v>18</v>
      </c>
      <c r="J177" t="s">
        <v>29</v>
      </c>
      <c r="K177">
        <v>7</v>
      </c>
      <c r="L177">
        <v>1</v>
      </c>
      <c r="M177" s="2">
        <f t="shared" si="2"/>
        <v>2449.6080000000002</v>
      </c>
      <c r="N177" s="2" t="str">
        <f>IF(Tabla1[[#This Row],[Aprobación_Veterinaria]]=1,"APROBADO","NO APROBADO")</f>
        <v>APROBADO</v>
      </c>
      <c r="O177" t="str">
        <f>IF(Tabla1[[#This Row],[Repite compra?]]=1,"REPITE","NO REPITE")</f>
        <v>REPITE</v>
      </c>
      <c r="P177" t="str">
        <f>IF(Tabla1[[#This Row],[rating_segun encuesta a Consumidor]]&lt;5,"Regular",IF(Tabla1[[#This Row],[rating_segun encuesta a Consumidor]]&gt;8,"Excelente","Bueno"))</f>
        <v>Bueno</v>
      </c>
    </row>
    <row r="178" spans="1:16" x14ac:dyDescent="0.35">
      <c r="A178" s="1">
        <v>44068</v>
      </c>
      <c r="B178">
        <v>4698</v>
      </c>
      <c r="C178" t="s">
        <v>43</v>
      </c>
      <c r="D178">
        <v>130</v>
      </c>
      <c r="E178">
        <v>31.128</v>
      </c>
      <c r="F178">
        <v>1</v>
      </c>
      <c r="G178" t="s">
        <v>34</v>
      </c>
      <c r="H178" t="s">
        <v>50</v>
      </c>
      <c r="I178" t="s">
        <v>41</v>
      </c>
      <c r="J178" t="s">
        <v>29</v>
      </c>
      <c r="K178">
        <v>10</v>
      </c>
      <c r="L178">
        <v>1</v>
      </c>
      <c r="M178" s="2">
        <f t="shared" si="2"/>
        <v>4046.64</v>
      </c>
      <c r="N178" s="2" t="str">
        <f>IF(Tabla1[[#This Row],[Aprobación_Veterinaria]]=1,"APROBADO","NO APROBADO")</f>
        <v>APROBADO</v>
      </c>
      <c r="O178" t="str">
        <f>IF(Tabla1[[#This Row],[Repite compra?]]=1,"REPITE","NO REPITE")</f>
        <v>REPITE</v>
      </c>
      <c r="P178" t="str">
        <f>IF(Tabla1[[#This Row],[rating_segun encuesta a Consumidor]]&lt;5,"Regular",IF(Tabla1[[#This Row],[rating_segun encuesta a Consumidor]]&gt;8,"Excelente","Bueno"))</f>
        <v>Excelente</v>
      </c>
    </row>
    <row r="179" spans="1:16" x14ac:dyDescent="0.35">
      <c r="A179" s="1">
        <v>44153</v>
      </c>
      <c r="B179">
        <v>4266</v>
      </c>
      <c r="C179" t="s">
        <v>15</v>
      </c>
      <c r="D179">
        <v>224</v>
      </c>
      <c r="E179">
        <v>222.88800000000001</v>
      </c>
      <c r="F179">
        <v>1</v>
      </c>
      <c r="G179" t="s">
        <v>36</v>
      </c>
      <c r="H179" t="s">
        <v>22</v>
      </c>
      <c r="I179" t="s">
        <v>45</v>
      </c>
      <c r="J179" t="s">
        <v>49</v>
      </c>
      <c r="K179">
        <v>5</v>
      </c>
      <c r="L179">
        <v>0</v>
      </c>
      <c r="M179" s="2">
        <f t="shared" si="2"/>
        <v>49926.912000000004</v>
      </c>
      <c r="N179" s="2" t="str">
        <f>IF(Tabla1[[#This Row],[Aprobación_Veterinaria]]=1,"APROBADO","NO APROBADO")</f>
        <v>APROBADO</v>
      </c>
      <c r="O179" t="str">
        <f>IF(Tabla1[[#This Row],[Repite compra?]]=1,"REPITE","NO REPITE")</f>
        <v>NO REPITE</v>
      </c>
      <c r="P179" t="str">
        <f>IF(Tabla1[[#This Row],[rating_segun encuesta a Consumidor]]&lt;5,"Regular",IF(Tabla1[[#This Row],[rating_segun encuesta a Consumidor]]&gt;8,"Excelente","Bueno"))</f>
        <v>Bueno</v>
      </c>
    </row>
    <row r="180" spans="1:16" x14ac:dyDescent="0.35">
      <c r="A180" s="1">
        <v>44145</v>
      </c>
      <c r="B180">
        <v>4792</v>
      </c>
      <c r="C180" t="s">
        <v>26</v>
      </c>
      <c r="D180">
        <v>217</v>
      </c>
      <c r="E180">
        <v>19.356000000000002</v>
      </c>
      <c r="F180">
        <v>0</v>
      </c>
      <c r="G180" t="s">
        <v>37</v>
      </c>
      <c r="H180" t="s">
        <v>38</v>
      </c>
      <c r="I180" t="s">
        <v>18</v>
      </c>
      <c r="J180" t="s">
        <v>29</v>
      </c>
      <c r="K180">
        <v>7</v>
      </c>
      <c r="L180">
        <v>0</v>
      </c>
      <c r="M180" s="2">
        <f t="shared" si="2"/>
        <v>4200.2520000000004</v>
      </c>
      <c r="N180" s="2" t="str">
        <f>IF(Tabla1[[#This Row],[Aprobación_Veterinaria]]=1,"APROBADO","NO APROBADO")</f>
        <v>NO APROBADO</v>
      </c>
      <c r="O180" t="str">
        <f>IF(Tabla1[[#This Row],[Repite compra?]]=1,"REPITE","NO REPITE")</f>
        <v>NO REPITE</v>
      </c>
      <c r="P180" t="str">
        <f>IF(Tabla1[[#This Row],[rating_segun encuesta a Consumidor]]&lt;5,"Regular",IF(Tabla1[[#This Row],[rating_segun encuesta a Consumidor]]&gt;8,"Excelente","Bueno"))</f>
        <v>Bueno</v>
      </c>
    </row>
    <row r="181" spans="1:16" x14ac:dyDescent="0.35">
      <c r="A181" s="1">
        <v>44056</v>
      </c>
      <c r="B181">
        <v>4503</v>
      </c>
      <c r="C181" t="s">
        <v>30</v>
      </c>
      <c r="D181">
        <v>139</v>
      </c>
      <c r="E181">
        <v>124.464</v>
      </c>
      <c r="F181">
        <v>1</v>
      </c>
      <c r="G181" t="s">
        <v>40</v>
      </c>
      <c r="H181" t="s">
        <v>22</v>
      </c>
      <c r="I181" t="s">
        <v>41</v>
      </c>
      <c r="J181" t="s">
        <v>23</v>
      </c>
      <c r="K181">
        <v>4</v>
      </c>
      <c r="L181">
        <v>1</v>
      </c>
      <c r="M181" s="2">
        <f t="shared" si="2"/>
        <v>17300.495999999999</v>
      </c>
      <c r="N181" s="2" t="str">
        <f>IF(Tabla1[[#This Row],[Aprobación_Veterinaria]]=1,"APROBADO","NO APROBADO")</f>
        <v>APROBADO</v>
      </c>
      <c r="O181" t="str">
        <f>IF(Tabla1[[#This Row],[Repite compra?]]=1,"REPITE","NO REPITE")</f>
        <v>REPITE</v>
      </c>
      <c r="P181" t="str">
        <f>IF(Tabla1[[#This Row],[rating_segun encuesta a Consumidor]]&lt;5,"Regular",IF(Tabla1[[#This Row],[rating_segun encuesta a Consumidor]]&gt;8,"Excelente","Bueno"))</f>
        <v>Regular</v>
      </c>
    </row>
    <row r="182" spans="1:16" x14ac:dyDescent="0.35">
      <c r="A182" s="1">
        <v>44160</v>
      </c>
      <c r="B182">
        <v>4201</v>
      </c>
      <c r="C182" t="s">
        <v>46</v>
      </c>
      <c r="D182">
        <v>121</v>
      </c>
      <c r="E182">
        <v>219.40800000000002</v>
      </c>
      <c r="F182">
        <v>1</v>
      </c>
      <c r="G182" t="s">
        <v>16</v>
      </c>
      <c r="H182" t="s">
        <v>22</v>
      </c>
      <c r="I182" t="s">
        <v>45</v>
      </c>
      <c r="J182" t="s">
        <v>25</v>
      </c>
      <c r="K182">
        <v>5</v>
      </c>
      <c r="L182">
        <v>1</v>
      </c>
      <c r="M182" s="2">
        <f t="shared" si="2"/>
        <v>26548.368000000002</v>
      </c>
      <c r="N182" s="2" t="str">
        <f>IF(Tabla1[[#This Row],[Aprobación_Veterinaria]]=1,"APROBADO","NO APROBADO")</f>
        <v>APROBADO</v>
      </c>
      <c r="O182" t="str">
        <f>IF(Tabla1[[#This Row],[Repite compra?]]=1,"REPITE","NO REPITE")</f>
        <v>REPITE</v>
      </c>
      <c r="P182" t="str">
        <f>IF(Tabla1[[#This Row],[rating_segun encuesta a Consumidor]]&lt;5,"Regular",IF(Tabla1[[#This Row],[rating_segun encuesta a Consumidor]]&gt;8,"Excelente","Bueno"))</f>
        <v>Bueno</v>
      </c>
    </row>
    <row r="183" spans="1:16" x14ac:dyDescent="0.35">
      <c r="A183" s="1">
        <v>44164</v>
      </c>
      <c r="B183">
        <v>4679</v>
      </c>
      <c r="C183" t="s">
        <v>30</v>
      </c>
      <c r="D183">
        <v>203</v>
      </c>
      <c r="E183">
        <v>230.43600000000001</v>
      </c>
      <c r="F183">
        <v>1</v>
      </c>
      <c r="G183" t="s">
        <v>21</v>
      </c>
      <c r="H183" t="s">
        <v>22</v>
      </c>
      <c r="I183" t="s">
        <v>28</v>
      </c>
      <c r="J183" t="s">
        <v>23</v>
      </c>
      <c r="K183">
        <v>10</v>
      </c>
      <c r="L183">
        <v>1</v>
      </c>
      <c r="M183" s="2">
        <f t="shared" si="2"/>
        <v>46778.508000000002</v>
      </c>
      <c r="N183" s="2" t="str">
        <f>IF(Tabla1[[#This Row],[Aprobación_Veterinaria]]=1,"APROBADO","NO APROBADO")</f>
        <v>APROBADO</v>
      </c>
      <c r="O183" t="str">
        <f>IF(Tabla1[[#This Row],[Repite compra?]]=1,"REPITE","NO REPITE")</f>
        <v>REPITE</v>
      </c>
      <c r="P183" t="str">
        <f>IF(Tabla1[[#This Row],[rating_segun encuesta a Consumidor]]&lt;5,"Regular",IF(Tabla1[[#This Row],[rating_segun encuesta a Consumidor]]&gt;8,"Excelente","Bueno"))</f>
        <v>Excelente</v>
      </c>
    </row>
    <row r="184" spans="1:16" x14ac:dyDescent="0.35">
      <c r="A184" s="1">
        <v>44105</v>
      </c>
      <c r="B184">
        <v>4998</v>
      </c>
      <c r="C184" t="s">
        <v>15</v>
      </c>
      <c r="D184">
        <v>200</v>
      </c>
      <c r="E184">
        <v>135.38400000000001</v>
      </c>
      <c r="F184">
        <v>0</v>
      </c>
      <c r="G184" t="s">
        <v>24</v>
      </c>
      <c r="H184" t="s">
        <v>50</v>
      </c>
      <c r="I184" t="s">
        <v>18</v>
      </c>
      <c r="J184" t="s">
        <v>19</v>
      </c>
      <c r="K184">
        <v>6</v>
      </c>
      <c r="L184">
        <v>0</v>
      </c>
      <c r="M184" s="2">
        <f t="shared" si="2"/>
        <v>27076.800000000003</v>
      </c>
      <c r="N184" s="2" t="str">
        <f>IF(Tabla1[[#This Row],[Aprobación_Veterinaria]]=1,"APROBADO","NO APROBADO")</f>
        <v>NO APROBADO</v>
      </c>
      <c r="O184" t="str">
        <f>IF(Tabla1[[#This Row],[Repite compra?]]=1,"REPITE","NO REPITE")</f>
        <v>NO REPITE</v>
      </c>
      <c r="P184" t="str">
        <f>IF(Tabla1[[#This Row],[rating_segun encuesta a Consumidor]]&lt;5,"Regular",IF(Tabla1[[#This Row],[rating_segun encuesta a Consumidor]]&gt;8,"Excelente","Bueno"))</f>
        <v>Bueno</v>
      </c>
    </row>
    <row r="185" spans="1:16" x14ac:dyDescent="0.35">
      <c r="A185" s="1">
        <v>44159</v>
      </c>
      <c r="B185">
        <v>4855</v>
      </c>
      <c r="C185" t="s">
        <v>26</v>
      </c>
      <c r="D185">
        <v>151</v>
      </c>
      <c r="E185">
        <v>152.61600000000001</v>
      </c>
      <c r="F185">
        <v>1</v>
      </c>
      <c r="G185" t="s">
        <v>27</v>
      </c>
      <c r="H185" t="s">
        <v>44</v>
      </c>
      <c r="I185" t="s">
        <v>41</v>
      </c>
      <c r="J185" t="s">
        <v>23</v>
      </c>
      <c r="K185">
        <v>1</v>
      </c>
      <c r="L185">
        <v>1</v>
      </c>
      <c r="M185" s="2">
        <f t="shared" si="2"/>
        <v>23045.016000000003</v>
      </c>
      <c r="N185" s="2" t="str">
        <f>IF(Tabla1[[#This Row],[Aprobación_Veterinaria]]=1,"APROBADO","NO APROBADO")</f>
        <v>APROBADO</v>
      </c>
      <c r="O185" t="str">
        <f>IF(Tabla1[[#This Row],[Repite compra?]]=1,"REPITE","NO REPITE")</f>
        <v>REPITE</v>
      </c>
      <c r="P185" t="str">
        <f>IF(Tabla1[[#This Row],[rating_segun encuesta a Consumidor]]&lt;5,"Regular",IF(Tabla1[[#This Row],[rating_segun encuesta a Consumidor]]&gt;8,"Excelente","Bueno"))</f>
        <v>Regular</v>
      </c>
    </row>
    <row r="186" spans="1:16" x14ac:dyDescent="0.35">
      <c r="A186" s="1">
        <v>43869</v>
      </c>
      <c r="B186">
        <v>5029</v>
      </c>
      <c r="C186" t="s">
        <v>26</v>
      </c>
      <c r="D186">
        <v>181</v>
      </c>
      <c r="E186">
        <v>97.02</v>
      </c>
      <c r="F186">
        <v>1</v>
      </c>
      <c r="G186" t="s">
        <v>31</v>
      </c>
      <c r="H186" t="s">
        <v>54</v>
      </c>
      <c r="I186" t="s">
        <v>41</v>
      </c>
      <c r="J186" t="s">
        <v>49</v>
      </c>
      <c r="K186">
        <v>6</v>
      </c>
      <c r="L186">
        <v>1</v>
      </c>
      <c r="M186" s="2">
        <f t="shared" si="2"/>
        <v>17560.62</v>
      </c>
      <c r="N186" s="2" t="str">
        <f>IF(Tabla1[[#This Row],[Aprobación_Veterinaria]]=1,"APROBADO","NO APROBADO")</f>
        <v>APROBADO</v>
      </c>
      <c r="O186" t="str">
        <f>IF(Tabla1[[#This Row],[Repite compra?]]=1,"REPITE","NO REPITE")</f>
        <v>REPITE</v>
      </c>
      <c r="P186" t="str">
        <f>IF(Tabla1[[#This Row],[rating_segun encuesta a Consumidor]]&lt;5,"Regular",IF(Tabla1[[#This Row],[rating_segun encuesta a Consumidor]]&gt;8,"Excelente","Bueno"))</f>
        <v>Bueno</v>
      </c>
    </row>
    <row r="187" spans="1:16" x14ac:dyDescent="0.35">
      <c r="A187" s="1">
        <v>44005</v>
      </c>
      <c r="B187">
        <v>4759</v>
      </c>
      <c r="C187" t="s">
        <v>39</v>
      </c>
      <c r="D187">
        <v>72</v>
      </c>
      <c r="E187">
        <v>1.2</v>
      </c>
      <c r="F187">
        <v>0</v>
      </c>
      <c r="G187" t="s">
        <v>33</v>
      </c>
      <c r="H187" t="s">
        <v>54</v>
      </c>
      <c r="I187" t="s">
        <v>41</v>
      </c>
      <c r="J187" t="s">
        <v>23</v>
      </c>
      <c r="K187">
        <v>7</v>
      </c>
      <c r="L187">
        <v>0</v>
      </c>
      <c r="M187" s="2">
        <f t="shared" si="2"/>
        <v>86.399999999999991</v>
      </c>
      <c r="N187" s="2" t="str">
        <f>IF(Tabla1[[#This Row],[Aprobación_Veterinaria]]=1,"APROBADO","NO APROBADO")</f>
        <v>NO APROBADO</v>
      </c>
      <c r="O187" t="str">
        <f>IF(Tabla1[[#This Row],[Repite compra?]]=1,"REPITE","NO REPITE")</f>
        <v>NO REPITE</v>
      </c>
      <c r="P187" t="str">
        <f>IF(Tabla1[[#This Row],[rating_segun encuesta a Consumidor]]&lt;5,"Regular",IF(Tabla1[[#This Row],[rating_segun encuesta a Consumidor]]&gt;8,"Excelente","Bueno"))</f>
        <v>Bueno</v>
      </c>
    </row>
    <row r="188" spans="1:16" x14ac:dyDescent="0.35">
      <c r="A188" s="1">
        <v>44084</v>
      </c>
      <c r="B188">
        <v>4602</v>
      </c>
      <c r="C188" t="s">
        <v>30</v>
      </c>
      <c r="D188">
        <v>142</v>
      </c>
      <c r="E188">
        <v>56.664000000000001</v>
      </c>
      <c r="F188">
        <v>1</v>
      </c>
      <c r="G188" t="s">
        <v>34</v>
      </c>
      <c r="H188" t="s">
        <v>22</v>
      </c>
      <c r="I188" t="s">
        <v>18</v>
      </c>
      <c r="J188" t="s">
        <v>29</v>
      </c>
      <c r="K188">
        <v>10</v>
      </c>
      <c r="L188">
        <v>1</v>
      </c>
      <c r="M188" s="2">
        <f t="shared" si="2"/>
        <v>8046.2880000000005</v>
      </c>
      <c r="N188" s="2" t="str">
        <f>IF(Tabla1[[#This Row],[Aprobación_Veterinaria]]=1,"APROBADO","NO APROBADO")</f>
        <v>APROBADO</v>
      </c>
      <c r="O188" t="str">
        <f>IF(Tabla1[[#This Row],[Repite compra?]]=1,"REPITE","NO REPITE")</f>
        <v>REPITE</v>
      </c>
      <c r="P188" t="str">
        <f>IF(Tabla1[[#This Row],[rating_segun encuesta a Consumidor]]&lt;5,"Regular",IF(Tabla1[[#This Row],[rating_segun encuesta a Consumidor]]&gt;8,"Excelente","Bueno"))</f>
        <v>Excelente</v>
      </c>
    </row>
    <row r="189" spans="1:16" x14ac:dyDescent="0.35">
      <c r="A189" s="1">
        <v>43997</v>
      </c>
      <c r="B189">
        <v>4663</v>
      </c>
      <c r="C189" t="s">
        <v>46</v>
      </c>
      <c r="D189">
        <v>224</v>
      </c>
      <c r="E189">
        <v>40.524000000000001</v>
      </c>
      <c r="F189">
        <v>0</v>
      </c>
      <c r="G189" t="s">
        <v>36</v>
      </c>
      <c r="H189" t="s">
        <v>22</v>
      </c>
      <c r="I189" t="s">
        <v>41</v>
      </c>
      <c r="J189" t="s">
        <v>23</v>
      </c>
      <c r="K189">
        <v>10</v>
      </c>
      <c r="L189">
        <v>1</v>
      </c>
      <c r="M189" s="2">
        <f t="shared" si="2"/>
        <v>9077.3760000000002</v>
      </c>
      <c r="N189" s="2" t="str">
        <f>IF(Tabla1[[#This Row],[Aprobación_Veterinaria]]=1,"APROBADO","NO APROBADO")</f>
        <v>NO APROBADO</v>
      </c>
      <c r="O189" t="str">
        <f>IF(Tabla1[[#This Row],[Repite compra?]]=1,"REPITE","NO REPITE")</f>
        <v>REPITE</v>
      </c>
      <c r="P189" t="str">
        <f>IF(Tabla1[[#This Row],[rating_segun encuesta a Consumidor]]&lt;5,"Regular",IF(Tabla1[[#This Row],[rating_segun encuesta a Consumidor]]&gt;8,"Excelente","Bueno"))</f>
        <v>Excelente</v>
      </c>
    </row>
    <row r="190" spans="1:16" x14ac:dyDescent="0.35">
      <c r="A190" s="1">
        <v>44126</v>
      </c>
      <c r="B190">
        <v>4270</v>
      </c>
      <c r="C190" t="s">
        <v>20</v>
      </c>
      <c r="D190">
        <v>80</v>
      </c>
      <c r="E190">
        <v>116.48400000000001</v>
      </c>
      <c r="F190">
        <v>0</v>
      </c>
      <c r="G190" t="s">
        <v>37</v>
      </c>
      <c r="H190" t="s">
        <v>22</v>
      </c>
      <c r="I190" t="s">
        <v>35</v>
      </c>
      <c r="J190" t="s">
        <v>53</v>
      </c>
      <c r="K190">
        <v>5</v>
      </c>
      <c r="L190">
        <v>0</v>
      </c>
      <c r="M190" s="2">
        <f t="shared" si="2"/>
        <v>9318.7200000000012</v>
      </c>
      <c r="N190" s="2" t="str">
        <f>IF(Tabla1[[#This Row],[Aprobación_Veterinaria]]=1,"APROBADO","NO APROBADO")</f>
        <v>NO APROBADO</v>
      </c>
      <c r="O190" t="str">
        <f>IF(Tabla1[[#This Row],[Repite compra?]]=1,"REPITE","NO REPITE")</f>
        <v>NO REPITE</v>
      </c>
      <c r="P190" t="str">
        <f>IF(Tabla1[[#This Row],[rating_segun encuesta a Consumidor]]&lt;5,"Regular",IF(Tabla1[[#This Row],[rating_segun encuesta a Consumidor]]&gt;8,"Excelente","Bueno"))</f>
        <v>Bueno</v>
      </c>
    </row>
    <row r="191" spans="1:16" x14ac:dyDescent="0.35">
      <c r="A191" s="1">
        <v>44071</v>
      </c>
      <c r="B191">
        <v>4260</v>
      </c>
      <c r="C191" t="s">
        <v>39</v>
      </c>
      <c r="D191">
        <v>79</v>
      </c>
      <c r="E191">
        <v>103.29600000000001</v>
      </c>
      <c r="F191">
        <v>0</v>
      </c>
      <c r="G191" t="s">
        <v>40</v>
      </c>
      <c r="H191" t="s">
        <v>22</v>
      </c>
      <c r="I191" t="s">
        <v>35</v>
      </c>
      <c r="J191" t="s">
        <v>49</v>
      </c>
      <c r="K191">
        <v>4</v>
      </c>
      <c r="L191">
        <v>0</v>
      </c>
      <c r="M191" s="2">
        <f t="shared" si="2"/>
        <v>8160.3840000000009</v>
      </c>
      <c r="N191" s="2" t="str">
        <f>IF(Tabla1[[#This Row],[Aprobación_Veterinaria]]=1,"APROBADO","NO APROBADO")</f>
        <v>NO APROBADO</v>
      </c>
      <c r="O191" t="str">
        <f>IF(Tabla1[[#This Row],[Repite compra?]]=1,"REPITE","NO REPITE")</f>
        <v>NO REPITE</v>
      </c>
      <c r="P191" t="str">
        <f>IF(Tabla1[[#This Row],[rating_segun encuesta a Consumidor]]&lt;5,"Regular",IF(Tabla1[[#This Row],[rating_segun encuesta a Consumidor]]&gt;8,"Excelente","Bueno"))</f>
        <v>Regular</v>
      </c>
    </row>
    <row r="192" spans="1:16" x14ac:dyDescent="0.35">
      <c r="A192" s="1">
        <v>44017</v>
      </c>
      <c r="B192">
        <v>4242</v>
      </c>
      <c r="C192" t="s">
        <v>43</v>
      </c>
      <c r="D192">
        <v>142</v>
      </c>
      <c r="E192">
        <v>13.308</v>
      </c>
      <c r="F192">
        <v>0</v>
      </c>
      <c r="G192" t="s">
        <v>16</v>
      </c>
      <c r="H192" t="s">
        <v>22</v>
      </c>
      <c r="I192" t="s">
        <v>18</v>
      </c>
      <c r="J192" t="s">
        <v>49</v>
      </c>
      <c r="K192">
        <v>3</v>
      </c>
      <c r="L192">
        <v>1</v>
      </c>
      <c r="M192" s="2">
        <f t="shared" si="2"/>
        <v>1889.7359999999999</v>
      </c>
      <c r="N192" s="2" t="str">
        <f>IF(Tabla1[[#This Row],[Aprobación_Veterinaria]]=1,"APROBADO","NO APROBADO")</f>
        <v>NO APROBADO</v>
      </c>
      <c r="O192" t="str">
        <f>IF(Tabla1[[#This Row],[Repite compra?]]=1,"REPITE","NO REPITE")</f>
        <v>REPITE</v>
      </c>
      <c r="P192" t="str">
        <f>IF(Tabla1[[#This Row],[rating_segun encuesta a Consumidor]]&lt;5,"Regular",IF(Tabla1[[#This Row],[rating_segun encuesta a Consumidor]]&gt;8,"Excelente","Bueno"))</f>
        <v>Regular</v>
      </c>
    </row>
    <row r="193" spans="1:16" x14ac:dyDescent="0.35">
      <c r="A193" s="1">
        <v>43946</v>
      </c>
      <c r="B193">
        <v>4639</v>
      </c>
      <c r="C193" t="s">
        <v>26</v>
      </c>
      <c r="D193">
        <v>178</v>
      </c>
      <c r="E193">
        <v>22.236000000000001</v>
      </c>
      <c r="F193">
        <v>1</v>
      </c>
      <c r="G193" t="s">
        <v>21</v>
      </c>
      <c r="H193" t="s">
        <v>22</v>
      </c>
      <c r="I193" t="s">
        <v>28</v>
      </c>
      <c r="J193" t="s">
        <v>23</v>
      </c>
      <c r="K193">
        <v>10</v>
      </c>
      <c r="L193">
        <v>1</v>
      </c>
      <c r="M193" s="2">
        <f t="shared" si="2"/>
        <v>3958.0080000000003</v>
      </c>
      <c r="N193" s="2" t="str">
        <f>IF(Tabla1[[#This Row],[Aprobación_Veterinaria]]=1,"APROBADO","NO APROBADO")</f>
        <v>APROBADO</v>
      </c>
      <c r="O193" t="str">
        <f>IF(Tabla1[[#This Row],[Repite compra?]]=1,"REPITE","NO REPITE")</f>
        <v>REPITE</v>
      </c>
      <c r="P193" t="str">
        <f>IF(Tabla1[[#This Row],[rating_segun encuesta a Consumidor]]&lt;5,"Regular",IF(Tabla1[[#This Row],[rating_segun encuesta a Consumidor]]&gt;8,"Excelente","Bueno"))</f>
        <v>Excelente</v>
      </c>
    </row>
    <row r="194" spans="1:16" x14ac:dyDescent="0.35">
      <c r="A194" s="1">
        <v>43887</v>
      </c>
      <c r="B194">
        <v>4515</v>
      </c>
      <c r="C194" t="s">
        <v>51</v>
      </c>
      <c r="D194">
        <v>87</v>
      </c>
      <c r="E194">
        <v>194.976</v>
      </c>
      <c r="F194">
        <v>0</v>
      </c>
      <c r="G194" t="s">
        <v>24</v>
      </c>
      <c r="H194" t="s">
        <v>22</v>
      </c>
      <c r="I194" t="s">
        <v>35</v>
      </c>
      <c r="J194" t="s">
        <v>23</v>
      </c>
      <c r="K194">
        <v>4</v>
      </c>
      <c r="L194">
        <v>0</v>
      </c>
      <c r="M194" s="2">
        <f t="shared" ref="M194:M257" si="3">D194*E194</f>
        <v>16962.912</v>
      </c>
      <c r="N194" s="2" t="str">
        <f>IF(Tabla1[[#This Row],[Aprobación_Veterinaria]]=1,"APROBADO","NO APROBADO")</f>
        <v>NO APROBADO</v>
      </c>
      <c r="O194" t="str">
        <f>IF(Tabla1[[#This Row],[Repite compra?]]=1,"REPITE","NO REPITE")</f>
        <v>NO REPITE</v>
      </c>
      <c r="P194" t="str">
        <f>IF(Tabla1[[#This Row],[rating_segun encuesta a Consumidor]]&lt;5,"Regular",IF(Tabla1[[#This Row],[rating_segun encuesta a Consumidor]]&gt;8,"Excelente","Bueno"))</f>
        <v>Regular</v>
      </c>
    </row>
    <row r="195" spans="1:16" x14ac:dyDescent="0.35">
      <c r="A195" s="1">
        <v>43942</v>
      </c>
      <c r="B195">
        <v>4538</v>
      </c>
      <c r="C195" t="s">
        <v>47</v>
      </c>
      <c r="D195">
        <v>50</v>
      </c>
      <c r="E195">
        <v>37.655999999999999</v>
      </c>
      <c r="F195">
        <v>0</v>
      </c>
      <c r="G195" t="s">
        <v>27</v>
      </c>
      <c r="H195" t="s">
        <v>22</v>
      </c>
      <c r="I195" t="s">
        <v>41</v>
      </c>
      <c r="J195" t="s">
        <v>29</v>
      </c>
      <c r="K195">
        <v>4</v>
      </c>
      <c r="L195">
        <v>1</v>
      </c>
      <c r="M195" s="2">
        <f t="shared" si="3"/>
        <v>1882.8</v>
      </c>
      <c r="N195" s="2" t="str">
        <f>IF(Tabla1[[#This Row],[Aprobación_Veterinaria]]=1,"APROBADO","NO APROBADO")</f>
        <v>NO APROBADO</v>
      </c>
      <c r="O195" t="str">
        <f>IF(Tabla1[[#This Row],[Repite compra?]]=1,"REPITE","NO REPITE")</f>
        <v>REPITE</v>
      </c>
      <c r="P195" t="str">
        <f>IF(Tabla1[[#This Row],[rating_segun encuesta a Consumidor]]&lt;5,"Regular",IF(Tabla1[[#This Row],[rating_segun encuesta a Consumidor]]&gt;8,"Excelente","Bueno"))</f>
        <v>Regular</v>
      </c>
    </row>
    <row r="196" spans="1:16" x14ac:dyDescent="0.35">
      <c r="A196" s="1">
        <v>44071</v>
      </c>
      <c r="B196">
        <v>4173</v>
      </c>
      <c r="C196" t="s">
        <v>30</v>
      </c>
      <c r="D196">
        <v>79</v>
      </c>
      <c r="E196">
        <v>108.88800000000001</v>
      </c>
      <c r="F196">
        <v>0</v>
      </c>
      <c r="G196" t="s">
        <v>31</v>
      </c>
      <c r="H196" t="s">
        <v>22</v>
      </c>
      <c r="I196" t="s">
        <v>41</v>
      </c>
      <c r="J196" t="s">
        <v>23</v>
      </c>
      <c r="K196">
        <v>1</v>
      </c>
      <c r="L196">
        <v>0</v>
      </c>
      <c r="M196" s="2">
        <f t="shared" si="3"/>
        <v>8602.152</v>
      </c>
      <c r="N196" s="2" t="str">
        <f>IF(Tabla1[[#This Row],[Aprobación_Veterinaria]]=1,"APROBADO","NO APROBADO")</f>
        <v>NO APROBADO</v>
      </c>
      <c r="O196" t="str">
        <f>IF(Tabla1[[#This Row],[Repite compra?]]=1,"REPITE","NO REPITE")</f>
        <v>NO REPITE</v>
      </c>
      <c r="P196" t="str">
        <f>IF(Tabla1[[#This Row],[rating_segun encuesta a Consumidor]]&lt;5,"Regular",IF(Tabla1[[#This Row],[rating_segun encuesta a Consumidor]]&gt;8,"Excelente","Bueno"))</f>
        <v>Regular</v>
      </c>
    </row>
    <row r="197" spans="1:16" x14ac:dyDescent="0.35">
      <c r="A197" s="1">
        <v>43936</v>
      </c>
      <c r="B197">
        <v>4363</v>
      </c>
      <c r="C197" t="s">
        <v>43</v>
      </c>
      <c r="D197">
        <v>3</v>
      </c>
      <c r="E197">
        <v>137.02799999999999</v>
      </c>
      <c r="F197">
        <v>1</v>
      </c>
      <c r="G197" t="s">
        <v>33</v>
      </c>
      <c r="H197" t="s">
        <v>22</v>
      </c>
      <c r="I197" t="s">
        <v>41</v>
      </c>
      <c r="J197" t="s">
        <v>23</v>
      </c>
      <c r="K197">
        <v>7</v>
      </c>
      <c r="L197">
        <v>0</v>
      </c>
      <c r="M197" s="2">
        <f t="shared" si="3"/>
        <v>411.08399999999995</v>
      </c>
      <c r="N197" s="2" t="str">
        <f>IF(Tabla1[[#This Row],[Aprobación_Veterinaria]]=1,"APROBADO","NO APROBADO")</f>
        <v>APROBADO</v>
      </c>
      <c r="O197" t="str">
        <f>IF(Tabla1[[#This Row],[Repite compra?]]=1,"REPITE","NO REPITE")</f>
        <v>NO REPITE</v>
      </c>
      <c r="P197" t="str">
        <f>IF(Tabla1[[#This Row],[rating_segun encuesta a Consumidor]]&lt;5,"Regular",IF(Tabla1[[#This Row],[rating_segun encuesta a Consumidor]]&gt;8,"Excelente","Bueno"))</f>
        <v>Bueno</v>
      </c>
    </row>
    <row r="198" spans="1:16" x14ac:dyDescent="0.35">
      <c r="A198" s="1">
        <v>44054</v>
      </c>
      <c r="B198">
        <v>4744</v>
      </c>
      <c r="C198" t="s">
        <v>39</v>
      </c>
      <c r="D198">
        <v>56</v>
      </c>
      <c r="E198">
        <v>22.404</v>
      </c>
      <c r="F198">
        <v>1</v>
      </c>
      <c r="G198" t="s">
        <v>34</v>
      </c>
      <c r="H198" t="s">
        <v>54</v>
      </c>
      <c r="I198" t="s">
        <v>18</v>
      </c>
      <c r="J198" t="s">
        <v>29</v>
      </c>
      <c r="K198">
        <v>7</v>
      </c>
      <c r="L198">
        <v>1</v>
      </c>
      <c r="M198" s="2">
        <f t="shared" si="3"/>
        <v>1254.624</v>
      </c>
      <c r="N198" s="2" t="str">
        <f>IF(Tabla1[[#This Row],[Aprobación_Veterinaria]]=1,"APROBADO","NO APROBADO")</f>
        <v>APROBADO</v>
      </c>
      <c r="O198" t="str">
        <f>IF(Tabla1[[#This Row],[Repite compra?]]=1,"REPITE","NO REPITE")</f>
        <v>REPITE</v>
      </c>
      <c r="P198" t="str">
        <f>IF(Tabla1[[#This Row],[rating_segun encuesta a Consumidor]]&lt;5,"Regular",IF(Tabla1[[#This Row],[rating_segun encuesta a Consumidor]]&gt;8,"Excelente","Bueno"))</f>
        <v>Bueno</v>
      </c>
    </row>
    <row r="199" spans="1:16" x14ac:dyDescent="0.35">
      <c r="A199" s="1">
        <v>43942</v>
      </c>
      <c r="B199">
        <v>4766</v>
      </c>
      <c r="C199" t="s">
        <v>20</v>
      </c>
      <c r="D199">
        <v>191</v>
      </c>
      <c r="E199">
        <v>227.4</v>
      </c>
      <c r="F199">
        <v>0</v>
      </c>
      <c r="G199" t="s">
        <v>36</v>
      </c>
      <c r="H199" t="s">
        <v>48</v>
      </c>
      <c r="I199" t="s">
        <v>18</v>
      </c>
      <c r="J199" t="s">
        <v>29</v>
      </c>
      <c r="K199">
        <v>7</v>
      </c>
      <c r="L199">
        <v>1</v>
      </c>
      <c r="M199" s="2">
        <f t="shared" si="3"/>
        <v>43433.4</v>
      </c>
      <c r="N199" s="2" t="str">
        <f>IF(Tabla1[[#This Row],[Aprobación_Veterinaria]]=1,"APROBADO","NO APROBADO")</f>
        <v>NO APROBADO</v>
      </c>
      <c r="O199" t="str">
        <f>IF(Tabla1[[#This Row],[Repite compra?]]=1,"REPITE","NO REPITE")</f>
        <v>REPITE</v>
      </c>
      <c r="P199" t="str">
        <f>IF(Tabla1[[#This Row],[rating_segun encuesta a Consumidor]]&lt;5,"Regular",IF(Tabla1[[#This Row],[rating_segun encuesta a Consumidor]]&gt;8,"Excelente","Bueno"))</f>
        <v>Bueno</v>
      </c>
    </row>
    <row r="200" spans="1:16" x14ac:dyDescent="0.35">
      <c r="A200" s="1">
        <v>44088</v>
      </c>
      <c r="B200">
        <v>4410</v>
      </c>
      <c r="C200" t="s">
        <v>46</v>
      </c>
      <c r="D200">
        <v>195</v>
      </c>
      <c r="E200">
        <v>20.411999999999999</v>
      </c>
      <c r="F200">
        <v>0</v>
      </c>
      <c r="G200" t="s">
        <v>37</v>
      </c>
      <c r="H200" t="s">
        <v>22</v>
      </c>
      <c r="I200" t="s">
        <v>35</v>
      </c>
      <c r="J200" t="s">
        <v>29</v>
      </c>
      <c r="K200">
        <v>7</v>
      </c>
      <c r="L200">
        <v>0</v>
      </c>
      <c r="M200" s="2">
        <f t="shared" si="3"/>
        <v>3980.3399999999997</v>
      </c>
      <c r="N200" s="2" t="str">
        <f>IF(Tabla1[[#This Row],[Aprobación_Veterinaria]]=1,"APROBADO","NO APROBADO")</f>
        <v>NO APROBADO</v>
      </c>
      <c r="O200" t="str">
        <f>IF(Tabla1[[#This Row],[Repite compra?]]=1,"REPITE","NO REPITE")</f>
        <v>NO REPITE</v>
      </c>
      <c r="P200" t="str">
        <f>IF(Tabla1[[#This Row],[rating_segun encuesta a Consumidor]]&lt;5,"Regular",IF(Tabla1[[#This Row],[rating_segun encuesta a Consumidor]]&gt;8,"Excelente","Bueno"))</f>
        <v>Bueno</v>
      </c>
    </row>
    <row r="201" spans="1:16" x14ac:dyDescent="0.35">
      <c r="A201" s="1">
        <v>44069</v>
      </c>
      <c r="B201">
        <v>4217</v>
      </c>
      <c r="C201" t="s">
        <v>30</v>
      </c>
      <c r="D201">
        <v>177</v>
      </c>
      <c r="E201">
        <v>33.335999999999999</v>
      </c>
      <c r="F201">
        <v>0</v>
      </c>
      <c r="G201" t="s">
        <v>40</v>
      </c>
      <c r="H201" t="s">
        <v>22</v>
      </c>
      <c r="I201" t="s">
        <v>18</v>
      </c>
      <c r="J201" t="s">
        <v>19</v>
      </c>
      <c r="K201">
        <v>6</v>
      </c>
      <c r="L201">
        <v>1</v>
      </c>
      <c r="M201" s="2">
        <f t="shared" si="3"/>
        <v>5900.4719999999998</v>
      </c>
      <c r="N201" s="2" t="str">
        <f>IF(Tabla1[[#This Row],[Aprobación_Veterinaria]]=1,"APROBADO","NO APROBADO")</f>
        <v>NO APROBADO</v>
      </c>
      <c r="O201" t="str">
        <f>IF(Tabla1[[#This Row],[Repite compra?]]=1,"REPITE","NO REPITE")</f>
        <v>REPITE</v>
      </c>
      <c r="P201" t="str">
        <f>IF(Tabla1[[#This Row],[rating_segun encuesta a Consumidor]]&lt;5,"Regular",IF(Tabla1[[#This Row],[rating_segun encuesta a Consumidor]]&gt;8,"Excelente","Bueno"))</f>
        <v>Bueno</v>
      </c>
    </row>
    <row r="202" spans="1:16" x14ac:dyDescent="0.35">
      <c r="A202" s="1">
        <v>43849</v>
      </c>
      <c r="B202">
        <v>4182</v>
      </c>
      <c r="C202" t="s">
        <v>20</v>
      </c>
      <c r="D202">
        <v>70</v>
      </c>
      <c r="E202">
        <v>46.524000000000001</v>
      </c>
      <c r="F202">
        <v>1</v>
      </c>
      <c r="G202" t="s">
        <v>16</v>
      </c>
      <c r="H202" t="s">
        <v>22</v>
      </c>
      <c r="I202" t="s">
        <v>18</v>
      </c>
      <c r="J202" t="s">
        <v>49</v>
      </c>
      <c r="K202">
        <v>6</v>
      </c>
      <c r="L202">
        <v>0</v>
      </c>
      <c r="M202" s="2">
        <f t="shared" si="3"/>
        <v>3256.6800000000003</v>
      </c>
      <c r="N202" s="2" t="str">
        <f>IF(Tabla1[[#This Row],[Aprobación_Veterinaria]]=1,"APROBADO","NO APROBADO")</f>
        <v>APROBADO</v>
      </c>
      <c r="O202" t="str">
        <f>IF(Tabla1[[#This Row],[Repite compra?]]=1,"REPITE","NO REPITE")</f>
        <v>NO REPITE</v>
      </c>
      <c r="P202" t="str">
        <f>IF(Tabla1[[#This Row],[rating_segun encuesta a Consumidor]]&lt;5,"Regular",IF(Tabla1[[#This Row],[rating_segun encuesta a Consumidor]]&gt;8,"Excelente","Bueno"))</f>
        <v>Bueno</v>
      </c>
    </row>
    <row r="203" spans="1:16" x14ac:dyDescent="0.35">
      <c r="A203" s="1">
        <v>44098</v>
      </c>
      <c r="B203">
        <v>4255</v>
      </c>
      <c r="C203" t="s">
        <v>15</v>
      </c>
      <c r="D203">
        <v>56</v>
      </c>
      <c r="E203">
        <v>12.612</v>
      </c>
      <c r="F203">
        <v>1</v>
      </c>
      <c r="G203" t="s">
        <v>21</v>
      </c>
      <c r="H203" t="s">
        <v>22</v>
      </c>
      <c r="I203" t="s">
        <v>35</v>
      </c>
      <c r="J203" t="s">
        <v>25</v>
      </c>
      <c r="K203">
        <v>8</v>
      </c>
      <c r="L203">
        <v>0</v>
      </c>
      <c r="M203" s="2">
        <f t="shared" si="3"/>
        <v>706.27200000000005</v>
      </c>
      <c r="N203" s="2" t="str">
        <f>IF(Tabla1[[#This Row],[Aprobación_Veterinaria]]=1,"APROBADO","NO APROBADO")</f>
        <v>APROBADO</v>
      </c>
      <c r="O203" t="str">
        <f>IF(Tabla1[[#This Row],[Repite compra?]]=1,"REPITE","NO REPITE")</f>
        <v>NO REPITE</v>
      </c>
      <c r="P203" t="str">
        <f>IF(Tabla1[[#This Row],[rating_segun encuesta a Consumidor]]&lt;5,"Regular",IF(Tabla1[[#This Row],[rating_segun encuesta a Consumidor]]&gt;8,"Excelente","Bueno"))</f>
        <v>Bueno</v>
      </c>
    </row>
    <row r="204" spans="1:16" x14ac:dyDescent="0.35">
      <c r="A204" s="1">
        <v>44107</v>
      </c>
      <c r="B204">
        <v>4877</v>
      </c>
      <c r="C204" t="s">
        <v>20</v>
      </c>
      <c r="D204">
        <v>194</v>
      </c>
      <c r="E204">
        <v>43.308</v>
      </c>
      <c r="F204">
        <v>0</v>
      </c>
      <c r="G204" t="s">
        <v>24</v>
      </c>
      <c r="H204" t="s">
        <v>38</v>
      </c>
      <c r="I204" t="s">
        <v>41</v>
      </c>
      <c r="J204" t="s">
        <v>23</v>
      </c>
      <c r="K204">
        <v>6</v>
      </c>
      <c r="L204">
        <v>0</v>
      </c>
      <c r="M204" s="2">
        <f t="shared" si="3"/>
        <v>8401.7520000000004</v>
      </c>
      <c r="N204" s="2" t="str">
        <f>IF(Tabla1[[#This Row],[Aprobación_Veterinaria]]=1,"APROBADO","NO APROBADO")</f>
        <v>NO APROBADO</v>
      </c>
      <c r="O204" t="str">
        <f>IF(Tabla1[[#This Row],[Repite compra?]]=1,"REPITE","NO REPITE")</f>
        <v>NO REPITE</v>
      </c>
      <c r="P204" t="str">
        <f>IF(Tabla1[[#This Row],[rating_segun encuesta a Consumidor]]&lt;5,"Regular",IF(Tabla1[[#This Row],[rating_segun encuesta a Consumidor]]&gt;8,"Excelente","Bueno"))</f>
        <v>Bueno</v>
      </c>
    </row>
    <row r="205" spans="1:16" x14ac:dyDescent="0.35">
      <c r="A205" s="1">
        <v>44000</v>
      </c>
      <c r="B205">
        <v>4570</v>
      </c>
      <c r="C205" t="s">
        <v>51</v>
      </c>
      <c r="D205">
        <v>181</v>
      </c>
      <c r="E205">
        <v>124.572</v>
      </c>
      <c r="F205">
        <v>1</v>
      </c>
      <c r="G205" t="s">
        <v>27</v>
      </c>
      <c r="H205" t="s">
        <v>22</v>
      </c>
      <c r="I205" t="s">
        <v>35</v>
      </c>
      <c r="J205" t="s">
        <v>29</v>
      </c>
      <c r="K205">
        <v>10</v>
      </c>
      <c r="L205">
        <v>0</v>
      </c>
      <c r="M205" s="2">
        <f t="shared" si="3"/>
        <v>22547.531999999999</v>
      </c>
      <c r="N205" s="2" t="str">
        <f>IF(Tabla1[[#This Row],[Aprobación_Veterinaria]]=1,"APROBADO","NO APROBADO")</f>
        <v>APROBADO</v>
      </c>
      <c r="O205" t="str">
        <f>IF(Tabla1[[#This Row],[Repite compra?]]=1,"REPITE","NO REPITE")</f>
        <v>NO REPITE</v>
      </c>
      <c r="P205" t="str">
        <f>IF(Tabla1[[#This Row],[rating_segun encuesta a Consumidor]]&lt;5,"Regular",IF(Tabla1[[#This Row],[rating_segun encuesta a Consumidor]]&gt;8,"Excelente","Bueno"))</f>
        <v>Excelente</v>
      </c>
    </row>
    <row r="206" spans="1:16" x14ac:dyDescent="0.35">
      <c r="A206" s="1">
        <v>44072</v>
      </c>
      <c r="B206">
        <v>4898</v>
      </c>
      <c r="C206" t="s">
        <v>20</v>
      </c>
      <c r="D206">
        <v>129</v>
      </c>
      <c r="E206">
        <v>204.93600000000001</v>
      </c>
      <c r="F206">
        <v>0</v>
      </c>
      <c r="G206" t="s">
        <v>31</v>
      </c>
      <c r="H206" t="s">
        <v>50</v>
      </c>
      <c r="I206" t="s">
        <v>18</v>
      </c>
      <c r="J206" t="s">
        <v>29</v>
      </c>
      <c r="K206">
        <v>6</v>
      </c>
      <c r="L206">
        <v>0</v>
      </c>
      <c r="M206" s="2">
        <f t="shared" si="3"/>
        <v>26436.744000000002</v>
      </c>
      <c r="N206" s="2" t="str">
        <f>IF(Tabla1[[#This Row],[Aprobación_Veterinaria]]=1,"APROBADO","NO APROBADO")</f>
        <v>NO APROBADO</v>
      </c>
      <c r="O206" t="str">
        <f>IF(Tabla1[[#This Row],[Repite compra?]]=1,"REPITE","NO REPITE")</f>
        <v>NO REPITE</v>
      </c>
      <c r="P206" t="str">
        <f>IF(Tabla1[[#This Row],[rating_segun encuesta a Consumidor]]&lt;5,"Regular",IF(Tabla1[[#This Row],[rating_segun encuesta a Consumidor]]&gt;8,"Excelente","Bueno"))</f>
        <v>Bueno</v>
      </c>
    </row>
    <row r="207" spans="1:16" x14ac:dyDescent="0.35">
      <c r="A207" s="1">
        <v>44062</v>
      </c>
      <c r="B207">
        <v>4178</v>
      </c>
      <c r="C207" t="s">
        <v>15</v>
      </c>
      <c r="D207">
        <v>120</v>
      </c>
      <c r="E207">
        <v>82.751999999999995</v>
      </c>
      <c r="F207">
        <v>0</v>
      </c>
      <c r="G207" t="s">
        <v>33</v>
      </c>
      <c r="H207" t="s">
        <v>22</v>
      </c>
      <c r="I207" t="s">
        <v>41</v>
      </c>
      <c r="J207" t="s">
        <v>29</v>
      </c>
      <c r="K207">
        <v>4</v>
      </c>
      <c r="L207">
        <v>1</v>
      </c>
      <c r="M207" s="2">
        <f t="shared" si="3"/>
        <v>9930.24</v>
      </c>
      <c r="N207" s="2" t="str">
        <f>IF(Tabla1[[#This Row],[Aprobación_Veterinaria]]=1,"APROBADO","NO APROBADO")</f>
        <v>NO APROBADO</v>
      </c>
      <c r="O207" t="str">
        <f>IF(Tabla1[[#This Row],[Repite compra?]]=1,"REPITE","NO REPITE")</f>
        <v>REPITE</v>
      </c>
      <c r="P207" t="str">
        <f>IF(Tabla1[[#This Row],[rating_segun encuesta a Consumidor]]&lt;5,"Regular",IF(Tabla1[[#This Row],[rating_segun encuesta a Consumidor]]&gt;8,"Excelente","Bueno"))</f>
        <v>Regular</v>
      </c>
    </row>
    <row r="208" spans="1:16" x14ac:dyDescent="0.35">
      <c r="A208" s="1">
        <v>44000</v>
      </c>
      <c r="B208">
        <v>4298</v>
      </c>
      <c r="C208" t="s">
        <v>26</v>
      </c>
      <c r="D208">
        <v>211</v>
      </c>
      <c r="E208">
        <v>204.45600000000002</v>
      </c>
      <c r="F208">
        <v>0</v>
      </c>
      <c r="G208" t="s">
        <v>34</v>
      </c>
      <c r="H208" t="s">
        <v>22</v>
      </c>
      <c r="I208" t="s">
        <v>41</v>
      </c>
      <c r="J208" t="s">
        <v>29</v>
      </c>
      <c r="K208">
        <v>9</v>
      </c>
      <c r="L208">
        <v>0</v>
      </c>
      <c r="M208" s="2">
        <f t="shared" si="3"/>
        <v>43140.216</v>
      </c>
      <c r="N208" s="2" t="str">
        <f>IF(Tabla1[[#This Row],[Aprobación_Veterinaria]]=1,"APROBADO","NO APROBADO")</f>
        <v>NO APROBADO</v>
      </c>
      <c r="O208" t="str">
        <f>IF(Tabla1[[#This Row],[Repite compra?]]=1,"REPITE","NO REPITE")</f>
        <v>NO REPITE</v>
      </c>
      <c r="P208" t="str">
        <f>IF(Tabla1[[#This Row],[rating_segun encuesta a Consumidor]]&lt;5,"Regular",IF(Tabla1[[#This Row],[rating_segun encuesta a Consumidor]]&gt;8,"Excelente","Bueno"))</f>
        <v>Excelente</v>
      </c>
    </row>
    <row r="209" spans="1:16" x14ac:dyDescent="0.35">
      <c r="A209" s="1">
        <v>43840</v>
      </c>
      <c r="B209">
        <v>4778</v>
      </c>
      <c r="C209" t="s">
        <v>20</v>
      </c>
      <c r="D209">
        <v>103</v>
      </c>
      <c r="E209">
        <v>45.731999999999999</v>
      </c>
      <c r="F209">
        <v>0</v>
      </c>
      <c r="G209" t="s">
        <v>36</v>
      </c>
      <c r="H209" t="s">
        <v>50</v>
      </c>
      <c r="I209" t="s">
        <v>18</v>
      </c>
      <c r="J209" t="s">
        <v>29</v>
      </c>
      <c r="K209">
        <v>7</v>
      </c>
      <c r="L209">
        <v>0</v>
      </c>
      <c r="M209" s="2">
        <f t="shared" si="3"/>
        <v>4710.3959999999997</v>
      </c>
      <c r="N209" s="2" t="str">
        <f>IF(Tabla1[[#This Row],[Aprobación_Veterinaria]]=1,"APROBADO","NO APROBADO")</f>
        <v>NO APROBADO</v>
      </c>
      <c r="O209" t="str">
        <f>IF(Tabla1[[#This Row],[Repite compra?]]=1,"REPITE","NO REPITE")</f>
        <v>NO REPITE</v>
      </c>
      <c r="P209" t="str">
        <f>IF(Tabla1[[#This Row],[rating_segun encuesta a Consumidor]]&lt;5,"Regular",IF(Tabla1[[#This Row],[rating_segun encuesta a Consumidor]]&gt;8,"Excelente","Bueno"))</f>
        <v>Bueno</v>
      </c>
    </row>
    <row r="210" spans="1:16" x14ac:dyDescent="0.35">
      <c r="A210" s="1">
        <v>43831</v>
      </c>
      <c r="B210">
        <v>4793</v>
      </c>
      <c r="C210" t="s">
        <v>20</v>
      </c>
      <c r="D210">
        <v>26</v>
      </c>
      <c r="E210">
        <v>13.668000000000001</v>
      </c>
      <c r="F210">
        <v>0</v>
      </c>
      <c r="G210" t="s">
        <v>37</v>
      </c>
      <c r="H210" t="s">
        <v>50</v>
      </c>
      <c r="I210" t="s">
        <v>41</v>
      </c>
      <c r="J210" t="s">
        <v>23</v>
      </c>
      <c r="K210">
        <v>7</v>
      </c>
      <c r="L210">
        <v>1</v>
      </c>
      <c r="M210" s="2">
        <f t="shared" si="3"/>
        <v>355.36800000000005</v>
      </c>
      <c r="N210" s="2" t="str">
        <f>IF(Tabla1[[#This Row],[Aprobación_Veterinaria]]=1,"APROBADO","NO APROBADO")</f>
        <v>NO APROBADO</v>
      </c>
      <c r="O210" t="str">
        <f>IF(Tabla1[[#This Row],[Repite compra?]]=1,"REPITE","NO REPITE")</f>
        <v>REPITE</v>
      </c>
      <c r="P210" t="str">
        <f>IF(Tabla1[[#This Row],[rating_segun encuesta a Consumidor]]&lt;5,"Regular",IF(Tabla1[[#This Row],[rating_segun encuesta a Consumidor]]&gt;8,"Excelente","Bueno"))</f>
        <v>Bueno</v>
      </c>
    </row>
    <row r="211" spans="1:16" x14ac:dyDescent="0.35">
      <c r="A211" s="1">
        <v>43983</v>
      </c>
      <c r="B211">
        <v>4474</v>
      </c>
      <c r="C211" t="s">
        <v>26</v>
      </c>
      <c r="D211">
        <v>176</v>
      </c>
      <c r="E211">
        <v>57.672000000000004</v>
      </c>
      <c r="F211">
        <v>0</v>
      </c>
      <c r="G211" t="s">
        <v>40</v>
      </c>
      <c r="H211" t="s">
        <v>22</v>
      </c>
      <c r="I211" t="s">
        <v>28</v>
      </c>
      <c r="J211" t="s">
        <v>29</v>
      </c>
      <c r="K211">
        <v>7</v>
      </c>
      <c r="L211">
        <v>0</v>
      </c>
      <c r="M211" s="2">
        <f t="shared" si="3"/>
        <v>10150.272000000001</v>
      </c>
      <c r="N211" s="2" t="str">
        <f>IF(Tabla1[[#This Row],[Aprobación_Veterinaria]]=1,"APROBADO","NO APROBADO")</f>
        <v>NO APROBADO</v>
      </c>
      <c r="O211" t="str">
        <f>IF(Tabla1[[#This Row],[Repite compra?]]=1,"REPITE","NO REPITE")</f>
        <v>NO REPITE</v>
      </c>
      <c r="P211" t="str">
        <f>IF(Tabla1[[#This Row],[rating_segun encuesta a Consumidor]]&lt;5,"Regular",IF(Tabla1[[#This Row],[rating_segun encuesta a Consumidor]]&gt;8,"Excelente","Bueno"))</f>
        <v>Bueno</v>
      </c>
    </row>
    <row r="212" spans="1:16" x14ac:dyDescent="0.35">
      <c r="A212" s="1">
        <v>43885</v>
      </c>
      <c r="B212">
        <v>4916</v>
      </c>
      <c r="C212" t="s">
        <v>20</v>
      </c>
      <c r="D212">
        <v>96</v>
      </c>
      <c r="E212">
        <v>59.988</v>
      </c>
      <c r="F212">
        <v>0</v>
      </c>
      <c r="G212" t="s">
        <v>16</v>
      </c>
      <c r="H212" t="s">
        <v>48</v>
      </c>
      <c r="I212" t="s">
        <v>18</v>
      </c>
      <c r="J212" t="s">
        <v>29</v>
      </c>
      <c r="K212">
        <v>6</v>
      </c>
      <c r="L212">
        <v>0</v>
      </c>
      <c r="M212" s="2">
        <f t="shared" si="3"/>
        <v>5758.848</v>
      </c>
      <c r="N212" s="2" t="str">
        <f>IF(Tabla1[[#This Row],[Aprobación_Veterinaria]]=1,"APROBADO","NO APROBADO")</f>
        <v>NO APROBADO</v>
      </c>
      <c r="O212" t="str">
        <f>IF(Tabla1[[#This Row],[Repite compra?]]=1,"REPITE","NO REPITE")</f>
        <v>NO REPITE</v>
      </c>
      <c r="P212" t="str">
        <f>IF(Tabla1[[#This Row],[rating_segun encuesta a Consumidor]]&lt;5,"Regular",IF(Tabla1[[#This Row],[rating_segun encuesta a Consumidor]]&gt;8,"Excelente","Bueno"))</f>
        <v>Bueno</v>
      </c>
    </row>
    <row r="213" spans="1:16" x14ac:dyDescent="0.35">
      <c r="A213" s="1">
        <v>43888</v>
      </c>
      <c r="B213">
        <v>5036</v>
      </c>
      <c r="C213" t="s">
        <v>20</v>
      </c>
      <c r="D213">
        <v>200</v>
      </c>
      <c r="E213">
        <v>180.31200000000001</v>
      </c>
      <c r="F213">
        <v>1</v>
      </c>
      <c r="G213" t="s">
        <v>21</v>
      </c>
      <c r="H213" t="s">
        <v>17</v>
      </c>
      <c r="I213" t="s">
        <v>18</v>
      </c>
      <c r="J213" t="s">
        <v>19</v>
      </c>
      <c r="K213">
        <v>7</v>
      </c>
      <c r="L213">
        <v>1</v>
      </c>
      <c r="M213" s="2">
        <f t="shared" si="3"/>
        <v>36062.400000000001</v>
      </c>
      <c r="N213" s="2" t="str">
        <f>IF(Tabla1[[#This Row],[Aprobación_Veterinaria]]=1,"APROBADO","NO APROBADO")</f>
        <v>APROBADO</v>
      </c>
      <c r="O213" t="str">
        <f>IF(Tabla1[[#This Row],[Repite compra?]]=1,"REPITE","NO REPITE")</f>
        <v>REPITE</v>
      </c>
      <c r="P213" t="str">
        <f>IF(Tabla1[[#This Row],[rating_segun encuesta a Consumidor]]&lt;5,"Regular",IF(Tabla1[[#This Row],[rating_segun encuesta a Consumidor]]&gt;8,"Excelente","Bueno"))</f>
        <v>Bueno</v>
      </c>
    </row>
    <row r="214" spans="1:16" x14ac:dyDescent="0.35">
      <c r="A214" s="1">
        <v>43916</v>
      </c>
      <c r="B214">
        <v>4511</v>
      </c>
      <c r="C214" t="s">
        <v>42</v>
      </c>
      <c r="D214">
        <v>31</v>
      </c>
      <c r="E214">
        <v>9.8279999999999994</v>
      </c>
      <c r="F214">
        <v>1</v>
      </c>
      <c r="G214" t="s">
        <v>24</v>
      </c>
      <c r="H214" t="s">
        <v>22</v>
      </c>
      <c r="I214" t="s">
        <v>45</v>
      </c>
      <c r="J214" t="s">
        <v>23</v>
      </c>
      <c r="K214">
        <v>2</v>
      </c>
      <c r="L214">
        <v>0</v>
      </c>
      <c r="M214" s="2">
        <f t="shared" si="3"/>
        <v>304.66800000000001</v>
      </c>
      <c r="N214" s="2" t="str">
        <f>IF(Tabla1[[#This Row],[Aprobación_Veterinaria]]=1,"APROBADO","NO APROBADO")</f>
        <v>APROBADO</v>
      </c>
      <c r="O214" t="str">
        <f>IF(Tabla1[[#This Row],[Repite compra?]]=1,"REPITE","NO REPITE")</f>
        <v>NO REPITE</v>
      </c>
      <c r="P214" t="str">
        <f>IF(Tabla1[[#This Row],[rating_segun encuesta a Consumidor]]&lt;5,"Regular",IF(Tabla1[[#This Row],[rating_segun encuesta a Consumidor]]&gt;8,"Excelente","Bueno"))</f>
        <v>Regular</v>
      </c>
    </row>
    <row r="215" spans="1:16" x14ac:dyDescent="0.35">
      <c r="A215" s="1">
        <v>43902</v>
      </c>
      <c r="B215">
        <v>4647</v>
      </c>
      <c r="C215" t="s">
        <v>51</v>
      </c>
      <c r="D215">
        <v>22</v>
      </c>
      <c r="E215">
        <v>112.152</v>
      </c>
      <c r="F215">
        <v>1</v>
      </c>
      <c r="G215" t="s">
        <v>27</v>
      </c>
      <c r="H215" t="s">
        <v>22</v>
      </c>
      <c r="I215" t="s">
        <v>18</v>
      </c>
      <c r="J215" t="s">
        <v>23</v>
      </c>
      <c r="K215">
        <v>10</v>
      </c>
      <c r="L215">
        <v>1</v>
      </c>
      <c r="M215" s="2">
        <f t="shared" si="3"/>
        <v>2467.3440000000001</v>
      </c>
      <c r="N215" s="2" t="str">
        <f>IF(Tabla1[[#This Row],[Aprobación_Veterinaria]]=1,"APROBADO","NO APROBADO")</f>
        <v>APROBADO</v>
      </c>
      <c r="O215" t="str">
        <f>IF(Tabla1[[#This Row],[Repite compra?]]=1,"REPITE","NO REPITE")</f>
        <v>REPITE</v>
      </c>
      <c r="P215" t="str">
        <f>IF(Tabla1[[#This Row],[rating_segun encuesta a Consumidor]]&lt;5,"Regular",IF(Tabla1[[#This Row],[rating_segun encuesta a Consumidor]]&gt;8,"Excelente","Bueno"))</f>
        <v>Excelente</v>
      </c>
    </row>
    <row r="216" spans="1:16" x14ac:dyDescent="0.35">
      <c r="A216" s="1">
        <v>44069</v>
      </c>
      <c r="B216">
        <v>4514</v>
      </c>
      <c r="C216" t="s">
        <v>30</v>
      </c>
      <c r="D216">
        <v>120</v>
      </c>
      <c r="E216">
        <v>29.411999999999999</v>
      </c>
      <c r="F216">
        <v>0</v>
      </c>
      <c r="G216" t="s">
        <v>31</v>
      </c>
      <c r="H216" t="s">
        <v>22</v>
      </c>
      <c r="I216" t="s">
        <v>28</v>
      </c>
      <c r="J216" t="s">
        <v>29</v>
      </c>
      <c r="K216">
        <v>8</v>
      </c>
      <c r="L216">
        <v>0</v>
      </c>
      <c r="M216" s="2">
        <f t="shared" si="3"/>
        <v>3529.44</v>
      </c>
      <c r="N216" s="2" t="str">
        <f>IF(Tabla1[[#This Row],[Aprobación_Veterinaria]]=1,"APROBADO","NO APROBADO")</f>
        <v>NO APROBADO</v>
      </c>
      <c r="O216" t="str">
        <f>IF(Tabla1[[#This Row],[Repite compra?]]=1,"REPITE","NO REPITE")</f>
        <v>NO REPITE</v>
      </c>
      <c r="P216" t="str">
        <f>IF(Tabla1[[#This Row],[rating_segun encuesta a Consumidor]]&lt;5,"Regular",IF(Tabla1[[#This Row],[rating_segun encuesta a Consumidor]]&gt;8,"Excelente","Bueno"))</f>
        <v>Bueno</v>
      </c>
    </row>
    <row r="217" spans="1:16" x14ac:dyDescent="0.35">
      <c r="A217" s="1">
        <v>43855</v>
      </c>
      <c r="B217">
        <v>4526</v>
      </c>
      <c r="C217" t="s">
        <v>51</v>
      </c>
      <c r="D217">
        <v>115</v>
      </c>
      <c r="E217">
        <v>125.16</v>
      </c>
      <c r="F217">
        <v>0</v>
      </c>
      <c r="G217" t="s">
        <v>33</v>
      </c>
      <c r="H217" t="s">
        <v>22</v>
      </c>
      <c r="I217" t="s">
        <v>45</v>
      </c>
      <c r="J217" t="s">
        <v>29</v>
      </c>
      <c r="K217">
        <v>6</v>
      </c>
      <c r="L217">
        <v>1</v>
      </c>
      <c r="M217" s="2">
        <f t="shared" si="3"/>
        <v>14393.4</v>
      </c>
      <c r="N217" s="2" t="str">
        <f>IF(Tabla1[[#This Row],[Aprobación_Veterinaria]]=1,"APROBADO","NO APROBADO")</f>
        <v>NO APROBADO</v>
      </c>
      <c r="O217" t="str">
        <f>IF(Tabla1[[#This Row],[Repite compra?]]=1,"REPITE","NO REPITE")</f>
        <v>REPITE</v>
      </c>
      <c r="P217" t="str">
        <f>IF(Tabla1[[#This Row],[rating_segun encuesta a Consumidor]]&lt;5,"Regular",IF(Tabla1[[#This Row],[rating_segun encuesta a Consumidor]]&gt;8,"Excelente","Bueno"))</f>
        <v>Bueno</v>
      </c>
    </row>
    <row r="218" spans="1:16" x14ac:dyDescent="0.35">
      <c r="A218" s="1">
        <v>43848</v>
      </c>
      <c r="B218">
        <v>4190</v>
      </c>
      <c r="C218" t="s">
        <v>46</v>
      </c>
      <c r="D218">
        <v>57</v>
      </c>
      <c r="E218">
        <v>54.552</v>
      </c>
      <c r="F218">
        <v>0</v>
      </c>
      <c r="G218" t="s">
        <v>34</v>
      </c>
      <c r="H218" t="s">
        <v>22</v>
      </c>
      <c r="I218" t="s">
        <v>35</v>
      </c>
      <c r="J218" t="s">
        <v>29</v>
      </c>
      <c r="K218">
        <v>2</v>
      </c>
      <c r="L218">
        <v>0</v>
      </c>
      <c r="M218" s="2">
        <f t="shared" si="3"/>
        <v>3109.4639999999999</v>
      </c>
      <c r="N218" s="2" t="str">
        <f>IF(Tabla1[[#This Row],[Aprobación_Veterinaria]]=1,"APROBADO","NO APROBADO")</f>
        <v>NO APROBADO</v>
      </c>
      <c r="O218" t="str">
        <f>IF(Tabla1[[#This Row],[Repite compra?]]=1,"REPITE","NO REPITE")</f>
        <v>NO REPITE</v>
      </c>
      <c r="P218" t="str">
        <f>IF(Tabla1[[#This Row],[rating_segun encuesta a Consumidor]]&lt;5,"Regular",IF(Tabla1[[#This Row],[rating_segun encuesta a Consumidor]]&gt;8,"Excelente","Bueno"))</f>
        <v>Regular</v>
      </c>
    </row>
    <row r="219" spans="1:16" x14ac:dyDescent="0.35">
      <c r="A219" s="1">
        <v>43883</v>
      </c>
      <c r="B219">
        <v>4469</v>
      </c>
      <c r="C219" t="s">
        <v>39</v>
      </c>
      <c r="D219">
        <v>88</v>
      </c>
      <c r="E219">
        <v>44.34</v>
      </c>
      <c r="F219">
        <v>0</v>
      </c>
      <c r="G219" t="s">
        <v>36</v>
      </c>
      <c r="H219" t="s">
        <v>22</v>
      </c>
      <c r="I219" t="s">
        <v>28</v>
      </c>
      <c r="J219" t="s">
        <v>23</v>
      </c>
      <c r="K219">
        <v>1</v>
      </c>
      <c r="L219">
        <v>0</v>
      </c>
      <c r="M219" s="2">
        <f t="shared" si="3"/>
        <v>3901.92</v>
      </c>
      <c r="N219" s="2" t="str">
        <f>IF(Tabla1[[#This Row],[Aprobación_Veterinaria]]=1,"APROBADO","NO APROBADO")</f>
        <v>NO APROBADO</v>
      </c>
      <c r="O219" t="str">
        <f>IF(Tabla1[[#This Row],[Repite compra?]]=1,"REPITE","NO REPITE")</f>
        <v>NO REPITE</v>
      </c>
      <c r="P219" t="str">
        <f>IF(Tabla1[[#This Row],[rating_segun encuesta a Consumidor]]&lt;5,"Regular",IF(Tabla1[[#This Row],[rating_segun encuesta a Consumidor]]&gt;8,"Excelente","Bueno"))</f>
        <v>Regular</v>
      </c>
    </row>
    <row r="220" spans="1:16" x14ac:dyDescent="0.35">
      <c r="A220" s="1">
        <v>43836</v>
      </c>
      <c r="B220">
        <v>4542</v>
      </c>
      <c r="C220" t="s">
        <v>46</v>
      </c>
      <c r="D220">
        <v>223</v>
      </c>
      <c r="E220">
        <v>226.63200000000001</v>
      </c>
      <c r="F220">
        <v>1</v>
      </c>
      <c r="G220" t="s">
        <v>37</v>
      </c>
      <c r="H220" t="s">
        <v>22</v>
      </c>
      <c r="I220" t="s">
        <v>18</v>
      </c>
      <c r="J220" t="s">
        <v>29</v>
      </c>
      <c r="K220">
        <v>10</v>
      </c>
      <c r="L220">
        <v>0</v>
      </c>
      <c r="M220" s="2">
        <f t="shared" si="3"/>
        <v>50538.936000000002</v>
      </c>
      <c r="N220" s="2" t="str">
        <f>IF(Tabla1[[#This Row],[Aprobación_Veterinaria]]=1,"APROBADO","NO APROBADO")</f>
        <v>APROBADO</v>
      </c>
      <c r="O220" t="str">
        <f>IF(Tabla1[[#This Row],[Repite compra?]]=1,"REPITE","NO REPITE")</f>
        <v>NO REPITE</v>
      </c>
      <c r="P220" t="str">
        <f>IF(Tabla1[[#This Row],[rating_segun encuesta a Consumidor]]&lt;5,"Regular",IF(Tabla1[[#This Row],[rating_segun encuesta a Consumidor]]&gt;8,"Excelente","Bueno"))</f>
        <v>Excelente</v>
      </c>
    </row>
    <row r="221" spans="1:16" x14ac:dyDescent="0.35">
      <c r="A221" s="1">
        <v>43887</v>
      </c>
      <c r="B221">
        <v>4452</v>
      </c>
      <c r="C221" t="s">
        <v>26</v>
      </c>
      <c r="D221">
        <v>138</v>
      </c>
      <c r="E221">
        <v>33.384</v>
      </c>
      <c r="F221">
        <v>0</v>
      </c>
      <c r="G221" t="s">
        <v>40</v>
      </c>
      <c r="H221" t="s">
        <v>22</v>
      </c>
      <c r="I221" t="s">
        <v>18</v>
      </c>
      <c r="J221" t="s">
        <v>29</v>
      </c>
      <c r="K221">
        <v>3</v>
      </c>
      <c r="L221">
        <v>1</v>
      </c>
      <c r="M221" s="2">
        <f t="shared" si="3"/>
        <v>4606.9920000000002</v>
      </c>
      <c r="N221" s="2" t="str">
        <f>IF(Tabla1[[#This Row],[Aprobación_Veterinaria]]=1,"APROBADO","NO APROBADO")</f>
        <v>NO APROBADO</v>
      </c>
      <c r="O221" t="str">
        <f>IF(Tabla1[[#This Row],[Repite compra?]]=1,"REPITE","NO REPITE")</f>
        <v>REPITE</v>
      </c>
      <c r="P221" t="str">
        <f>IF(Tabla1[[#This Row],[rating_segun encuesta a Consumidor]]&lt;5,"Regular",IF(Tabla1[[#This Row],[rating_segun encuesta a Consumidor]]&gt;8,"Excelente","Bueno"))</f>
        <v>Regular</v>
      </c>
    </row>
    <row r="222" spans="1:16" x14ac:dyDescent="0.35">
      <c r="A222" s="1">
        <v>43955</v>
      </c>
      <c r="B222">
        <v>4268</v>
      </c>
      <c r="C222" t="s">
        <v>32</v>
      </c>
      <c r="D222">
        <v>163</v>
      </c>
      <c r="E222">
        <v>149.79599999999999</v>
      </c>
      <c r="F222">
        <v>1</v>
      </c>
      <c r="G222" t="s">
        <v>16</v>
      </c>
      <c r="H222" t="s">
        <v>22</v>
      </c>
      <c r="I222" t="s">
        <v>41</v>
      </c>
      <c r="J222" t="s">
        <v>29</v>
      </c>
      <c r="K222">
        <v>9</v>
      </c>
      <c r="L222">
        <v>1</v>
      </c>
      <c r="M222" s="2">
        <f t="shared" si="3"/>
        <v>24416.748</v>
      </c>
      <c r="N222" s="2" t="str">
        <f>IF(Tabla1[[#This Row],[Aprobación_Veterinaria]]=1,"APROBADO","NO APROBADO")</f>
        <v>APROBADO</v>
      </c>
      <c r="O222" t="str">
        <f>IF(Tabla1[[#This Row],[Repite compra?]]=1,"REPITE","NO REPITE")</f>
        <v>REPITE</v>
      </c>
      <c r="P222" t="str">
        <f>IF(Tabla1[[#This Row],[rating_segun encuesta a Consumidor]]&lt;5,"Regular",IF(Tabla1[[#This Row],[rating_segun encuesta a Consumidor]]&gt;8,"Excelente","Bueno"))</f>
        <v>Excelente</v>
      </c>
    </row>
    <row r="223" spans="1:16" x14ac:dyDescent="0.35">
      <c r="A223" s="1">
        <v>43862</v>
      </c>
      <c r="B223">
        <v>4413</v>
      </c>
      <c r="C223" t="s">
        <v>20</v>
      </c>
      <c r="D223">
        <v>18</v>
      </c>
      <c r="E223">
        <v>119.10000000000001</v>
      </c>
      <c r="F223">
        <v>1</v>
      </c>
      <c r="G223" t="s">
        <v>21</v>
      </c>
      <c r="H223" t="s">
        <v>22</v>
      </c>
      <c r="I223" t="s">
        <v>41</v>
      </c>
      <c r="J223" t="s">
        <v>23</v>
      </c>
      <c r="K223">
        <v>9</v>
      </c>
      <c r="L223">
        <v>0</v>
      </c>
      <c r="M223" s="2">
        <f t="shared" si="3"/>
        <v>2143.8000000000002</v>
      </c>
      <c r="N223" s="2" t="str">
        <f>IF(Tabla1[[#This Row],[Aprobación_Veterinaria]]=1,"APROBADO","NO APROBADO")</f>
        <v>APROBADO</v>
      </c>
      <c r="O223" t="str">
        <f>IF(Tabla1[[#This Row],[Repite compra?]]=1,"REPITE","NO REPITE")</f>
        <v>NO REPITE</v>
      </c>
      <c r="P223" t="str">
        <f>IF(Tabla1[[#This Row],[rating_segun encuesta a Consumidor]]&lt;5,"Regular",IF(Tabla1[[#This Row],[rating_segun encuesta a Consumidor]]&gt;8,"Excelente","Bueno"))</f>
        <v>Excelente</v>
      </c>
    </row>
    <row r="224" spans="1:16" x14ac:dyDescent="0.35">
      <c r="A224" s="1">
        <v>44143</v>
      </c>
      <c r="B224">
        <v>4307</v>
      </c>
      <c r="C224" t="s">
        <v>47</v>
      </c>
      <c r="D224">
        <v>184</v>
      </c>
      <c r="E224">
        <v>219.84</v>
      </c>
      <c r="F224">
        <v>0</v>
      </c>
      <c r="G224" t="s">
        <v>24</v>
      </c>
      <c r="H224" t="s">
        <v>22</v>
      </c>
      <c r="I224" t="s">
        <v>18</v>
      </c>
      <c r="J224" t="s">
        <v>19</v>
      </c>
      <c r="K224">
        <v>8</v>
      </c>
      <c r="L224">
        <v>0</v>
      </c>
      <c r="M224" s="2">
        <f t="shared" si="3"/>
        <v>40450.559999999998</v>
      </c>
      <c r="N224" s="2" t="str">
        <f>IF(Tabla1[[#This Row],[Aprobación_Veterinaria]]=1,"APROBADO","NO APROBADO")</f>
        <v>NO APROBADO</v>
      </c>
      <c r="O224" t="str">
        <f>IF(Tabla1[[#This Row],[Repite compra?]]=1,"REPITE","NO REPITE")</f>
        <v>NO REPITE</v>
      </c>
      <c r="P224" t="str">
        <f>IF(Tabla1[[#This Row],[rating_segun encuesta a Consumidor]]&lt;5,"Regular",IF(Tabla1[[#This Row],[rating_segun encuesta a Consumidor]]&gt;8,"Excelente","Bueno"))</f>
        <v>Bueno</v>
      </c>
    </row>
    <row r="225" spans="1:16" x14ac:dyDescent="0.35">
      <c r="A225" s="1">
        <v>43882</v>
      </c>
      <c r="B225">
        <v>4986</v>
      </c>
      <c r="C225" t="s">
        <v>15</v>
      </c>
      <c r="D225">
        <v>228</v>
      </c>
      <c r="E225">
        <v>209.70000000000002</v>
      </c>
      <c r="F225">
        <v>1</v>
      </c>
      <c r="G225" t="s">
        <v>27</v>
      </c>
      <c r="H225" t="s">
        <v>48</v>
      </c>
      <c r="I225" t="s">
        <v>18</v>
      </c>
      <c r="J225" t="s">
        <v>19</v>
      </c>
      <c r="K225">
        <v>6</v>
      </c>
      <c r="L225">
        <v>0</v>
      </c>
      <c r="M225" s="2">
        <f t="shared" si="3"/>
        <v>47811.600000000006</v>
      </c>
      <c r="N225" s="2" t="str">
        <f>IF(Tabla1[[#This Row],[Aprobación_Veterinaria]]=1,"APROBADO","NO APROBADO")</f>
        <v>APROBADO</v>
      </c>
      <c r="O225" t="str">
        <f>IF(Tabla1[[#This Row],[Repite compra?]]=1,"REPITE","NO REPITE")</f>
        <v>NO REPITE</v>
      </c>
      <c r="P225" t="str">
        <f>IF(Tabla1[[#This Row],[rating_segun encuesta a Consumidor]]&lt;5,"Regular",IF(Tabla1[[#This Row],[rating_segun encuesta a Consumidor]]&gt;8,"Excelente","Bueno"))</f>
        <v>Bueno</v>
      </c>
    </row>
    <row r="226" spans="1:16" x14ac:dyDescent="0.35">
      <c r="A226" s="1">
        <v>44090</v>
      </c>
      <c r="B226">
        <v>4361</v>
      </c>
      <c r="C226" t="s">
        <v>51</v>
      </c>
      <c r="D226">
        <v>203</v>
      </c>
      <c r="E226">
        <v>49.823999999999998</v>
      </c>
      <c r="F226">
        <v>0</v>
      </c>
      <c r="G226" t="s">
        <v>31</v>
      </c>
      <c r="H226" t="s">
        <v>22</v>
      </c>
      <c r="I226" t="s">
        <v>45</v>
      </c>
      <c r="J226" t="s">
        <v>23</v>
      </c>
      <c r="K226">
        <v>7</v>
      </c>
      <c r="L226">
        <v>0</v>
      </c>
      <c r="M226" s="2">
        <f t="shared" si="3"/>
        <v>10114.271999999999</v>
      </c>
      <c r="N226" s="2" t="str">
        <f>IF(Tabla1[[#This Row],[Aprobación_Veterinaria]]=1,"APROBADO","NO APROBADO")</f>
        <v>NO APROBADO</v>
      </c>
      <c r="O226" t="str">
        <f>IF(Tabla1[[#This Row],[Repite compra?]]=1,"REPITE","NO REPITE")</f>
        <v>NO REPITE</v>
      </c>
      <c r="P226" t="str">
        <f>IF(Tabla1[[#This Row],[rating_segun encuesta a Consumidor]]&lt;5,"Regular",IF(Tabla1[[#This Row],[rating_segun encuesta a Consumidor]]&gt;8,"Excelente","Bueno"))</f>
        <v>Bueno</v>
      </c>
    </row>
    <row r="227" spans="1:16" x14ac:dyDescent="0.35">
      <c r="A227" s="1">
        <v>43833</v>
      </c>
      <c r="B227">
        <v>4738</v>
      </c>
      <c r="C227" t="s">
        <v>39</v>
      </c>
      <c r="D227">
        <v>41</v>
      </c>
      <c r="E227">
        <v>88.692000000000007</v>
      </c>
      <c r="F227">
        <v>0</v>
      </c>
      <c r="G227" t="s">
        <v>33</v>
      </c>
      <c r="H227" t="s">
        <v>50</v>
      </c>
      <c r="I227" t="s">
        <v>18</v>
      </c>
      <c r="J227" t="s">
        <v>29</v>
      </c>
      <c r="K227">
        <v>7</v>
      </c>
      <c r="L227">
        <v>0</v>
      </c>
      <c r="M227" s="2">
        <f t="shared" si="3"/>
        <v>3636.3720000000003</v>
      </c>
      <c r="N227" s="2" t="str">
        <f>IF(Tabla1[[#This Row],[Aprobación_Veterinaria]]=1,"APROBADO","NO APROBADO")</f>
        <v>NO APROBADO</v>
      </c>
      <c r="O227" t="str">
        <f>IF(Tabla1[[#This Row],[Repite compra?]]=1,"REPITE","NO REPITE")</f>
        <v>NO REPITE</v>
      </c>
      <c r="P227" t="str">
        <f>IF(Tabla1[[#This Row],[rating_segun encuesta a Consumidor]]&lt;5,"Regular",IF(Tabla1[[#This Row],[rating_segun encuesta a Consumidor]]&gt;8,"Excelente","Bueno"))</f>
        <v>Bueno</v>
      </c>
    </row>
    <row r="228" spans="1:16" x14ac:dyDescent="0.35">
      <c r="A228" s="1">
        <v>43928</v>
      </c>
      <c r="B228">
        <v>5032</v>
      </c>
      <c r="C228" t="s">
        <v>26</v>
      </c>
      <c r="D228">
        <v>132</v>
      </c>
      <c r="E228">
        <v>62.688000000000002</v>
      </c>
      <c r="F228">
        <v>1</v>
      </c>
      <c r="G228" t="s">
        <v>34</v>
      </c>
      <c r="H228" t="s">
        <v>17</v>
      </c>
      <c r="I228" t="s">
        <v>18</v>
      </c>
      <c r="J228" t="s">
        <v>19</v>
      </c>
      <c r="K228">
        <v>6</v>
      </c>
      <c r="L228">
        <v>1</v>
      </c>
      <c r="M228" s="2">
        <f t="shared" si="3"/>
        <v>8274.8160000000007</v>
      </c>
      <c r="N228" s="2" t="str">
        <f>IF(Tabla1[[#This Row],[Aprobación_Veterinaria]]=1,"APROBADO","NO APROBADO")</f>
        <v>APROBADO</v>
      </c>
      <c r="O228" t="str">
        <f>IF(Tabla1[[#This Row],[Repite compra?]]=1,"REPITE","NO REPITE")</f>
        <v>REPITE</v>
      </c>
      <c r="P228" t="str">
        <f>IF(Tabla1[[#This Row],[rating_segun encuesta a Consumidor]]&lt;5,"Regular",IF(Tabla1[[#This Row],[rating_segun encuesta a Consumidor]]&gt;8,"Excelente","Bueno"))</f>
        <v>Bueno</v>
      </c>
    </row>
    <row r="229" spans="1:16" x14ac:dyDescent="0.35">
      <c r="A229" s="1">
        <v>44105</v>
      </c>
      <c r="B229">
        <v>4727</v>
      </c>
      <c r="C229" t="s">
        <v>30</v>
      </c>
      <c r="D229">
        <v>146</v>
      </c>
      <c r="E229">
        <v>142.15200000000002</v>
      </c>
      <c r="F229">
        <v>0</v>
      </c>
      <c r="G229" t="s">
        <v>36</v>
      </c>
      <c r="H229" t="s">
        <v>38</v>
      </c>
      <c r="I229" t="s">
        <v>41</v>
      </c>
      <c r="J229" t="s">
        <v>23</v>
      </c>
      <c r="K229">
        <v>10</v>
      </c>
      <c r="L229">
        <v>1</v>
      </c>
      <c r="M229" s="2">
        <f t="shared" si="3"/>
        <v>20754.192000000003</v>
      </c>
      <c r="N229" s="2" t="str">
        <f>IF(Tabla1[[#This Row],[Aprobación_Veterinaria]]=1,"APROBADO","NO APROBADO")</f>
        <v>NO APROBADO</v>
      </c>
      <c r="O229" t="str">
        <f>IF(Tabla1[[#This Row],[Repite compra?]]=1,"REPITE","NO REPITE")</f>
        <v>REPITE</v>
      </c>
      <c r="P229" t="str">
        <f>IF(Tabla1[[#This Row],[rating_segun encuesta a Consumidor]]&lt;5,"Regular",IF(Tabla1[[#This Row],[rating_segun encuesta a Consumidor]]&gt;8,"Excelente","Bueno"))</f>
        <v>Excelente</v>
      </c>
    </row>
    <row r="230" spans="1:16" x14ac:dyDescent="0.35">
      <c r="A230" s="1">
        <v>43928</v>
      </c>
      <c r="B230">
        <v>4767</v>
      </c>
      <c r="C230" t="s">
        <v>15</v>
      </c>
      <c r="D230">
        <v>154</v>
      </c>
      <c r="E230">
        <v>209.34</v>
      </c>
      <c r="F230">
        <v>1</v>
      </c>
      <c r="G230" t="s">
        <v>37</v>
      </c>
      <c r="H230" t="s">
        <v>38</v>
      </c>
      <c r="I230" t="s">
        <v>41</v>
      </c>
      <c r="J230" t="s">
        <v>23</v>
      </c>
      <c r="K230">
        <v>7</v>
      </c>
      <c r="L230">
        <v>0</v>
      </c>
      <c r="M230" s="2">
        <f t="shared" si="3"/>
        <v>32238.36</v>
      </c>
      <c r="N230" s="2" t="str">
        <f>IF(Tabla1[[#This Row],[Aprobación_Veterinaria]]=1,"APROBADO","NO APROBADO")</f>
        <v>APROBADO</v>
      </c>
      <c r="O230" t="str">
        <f>IF(Tabla1[[#This Row],[Repite compra?]]=1,"REPITE","NO REPITE")</f>
        <v>NO REPITE</v>
      </c>
      <c r="P230" t="str">
        <f>IF(Tabla1[[#This Row],[rating_segun encuesta a Consumidor]]&lt;5,"Regular",IF(Tabla1[[#This Row],[rating_segun encuesta a Consumidor]]&gt;8,"Excelente","Bueno"))</f>
        <v>Bueno</v>
      </c>
    </row>
    <row r="231" spans="1:16" x14ac:dyDescent="0.35">
      <c r="A231" s="1">
        <v>43892</v>
      </c>
      <c r="B231">
        <v>4213</v>
      </c>
      <c r="C231" t="s">
        <v>32</v>
      </c>
      <c r="D231">
        <v>221</v>
      </c>
      <c r="E231">
        <v>77.7</v>
      </c>
      <c r="F231">
        <v>0</v>
      </c>
      <c r="G231" t="s">
        <v>40</v>
      </c>
      <c r="H231" t="s">
        <v>22</v>
      </c>
      <c r="I231" t="s">
        <v>41</v>
      </c>
      <c r="J231" t="s">
        <v>25</v>
      </c>
      <c r="K231">
        <v>9</v>
      </c>
      <c r="L231">
        <v>0</v>
      </c>
      <c r="M231" s="2">
        <f t="shared" si="3"/>
        <v>17171.7</v>
      </c>
      <c r="N231" s="2" t="str">
        <f>IF(Tabla1[[#This Row],[Aprobación_Veterinaria]]=1,"APROBADO","NO APROBADO")</f>
        <v>NO APROBADO</v>
      </c>
      <c r="O231" t="str">
        <f>IF(Tabla1[[#This Row],[Repite compra?]]=1,"REPITE","NO REPITE")</f>
        <v>NO REPITE</v>
      </c>
      <c r="P231" t="str">
        <f>IF(Tabla1[[#This Row],[rating_segun encuesta a Consumidor]]&lt;5,"Regular",IF(Tabla1[[#This Row],[rating_segun encuesta a Consumidor]]&gt;8,"Excelente","Bueno"))</f>
        <v>Excelente</v>
      </c>
    </row>
    <row r="232" spans="1:16" x14ac:dyDescent="0.35">
      <c r="A232" s="1">
        <v>43919</v>
      </c>
      <c r="B232">
        <v>4763</v>
      </c>
      <c r="C232" t="s">
        <v>30</v>
      </c>
      <c r="D232">
        <v>88</v>
      </c>
      <c r="E232">
        <v>119.556</v>
      </c>
      <c r="F232">
        <v>1</v>
      </c>
      <c r="G232" t="s">
        <v>16</v>
      </c>
      <c r="H232" t="s">
        <v>50</v>
      </c>
      <c r="I232" t="s">
        <v>41</v>
      </c>
      <c r="J232" t="s">
        <v>23</v>
      </c>
      <c r="K232">
        <v>7</v>
      </c>
      <c r="L232">
        <v>0</v>
      </c>
      <c r="M232" s="2">
        <f t="shared" si="3"/>
        <v>10520.928</v>
      </c>
      <c r="N232" s="2" t="str">
        <f>IF(Tabla1[[#This Row],[Aprobación_Veterinaria]]=1,"APROBADO","NO APROBADO")</f>
        <v>APROBADO</v>
      </c>
      <c r="O232" t="str">
        <f>IF(Tabla1[[#This Row],[Repite compra?]]=1,"REPITE","NO REPITE")</f>
        <v>NO REPITE</v>
      </c>
      <c r="P232" t="str">
        <f>IF(Tabla1[[#This Row],[rating_segun encuesta a Consumidor]]&lt;5,"Regular",IF(Tabla1[[#This Row],[rating_segun encuesta a Consumidor]]&gt;8,"Excelente","Bueno"))</f>
        <v>Bueno</v>
      </c>
    </row>
    <row r="233" spans="1:16" x14ac:dyDescent="0.35">
      <c r="A233" s="1">
        <v>43944</v>
      </c>
      <c r="B233">
        <v>4211</v>
      </c>
      <c r="C233" t="s">
        <v>15</v>
      </c>
      <c r="D233">
        <v>27</v>
      </c>
      <c r="E233">
        <v>185.67600000000002</v>
      </c>
      <c r="F233">
        <v>0</v>
      </c>
      <c r="G233" t="s">
        <v>21</v>
      </c>
      <c r="H233" t="s">
        <v>22</v>
      </c>
      <c r="I233" t="s">
        <v>45</v>
      </c>
      <c r="J233" t="s">
        <v>19</v>
      </c>
      <c r="K233">
        <v>10</v>
      </c>
      <c r="L233">
        <v>1</v>
      </c>
      <c r="M233" s="2">
        <f t="shared" si="3"/>
        <v>5013.2520000000004</v>
      </c>
      <c r="N233" s="2" t="str">
        <f>IF(Tabla1[[#This Row],[Aprobación_Veterinaria]]=1,"APROBADO","NO APROBADO")</f>
        <v>NO APROBADO</v>
      </c>
      <c r="O233" t="str">
        <f>IF(Tabla1[[#This Row],[Repite compra?]]=1,"REPITE","NO REPITE")</f>
        <v>REPITE</v>
      </c>
      <c r="P233" t="str">
        <f>IF(Tabla1[[#This Row],[rating_segun encuesta a Consumidor]]&lt;5,"Regular",IF(Tabla1[[#This Row],[rating_segun encuesta a Consumidor]]&gt;8,"Excelente","Bueno"))</f>
        <v>Excelente</v>
      </c>
    </row>
    <row r="234" spans="1:16" x14ac:dyDescent="0.35">
      <c r="A234" s="1">
        <v>43994</v>
      </c>
      <c r="B234">
        <v>4688</v>
      </c>
      <c r="C234" t="s">
        <v>30</v>
      </c>
      <c r="D234">
        <v>141</v>
      </c>
      <c r="E234">
        <v>191.964</v>
      </c>
      <c r="F234">
        <v>1</v>
      </c>
      <c r="G234" t="s">
        <v>24</v>
      </c>
      <c r="H234" t="s">
        <v>50</v>
      </c>
      <c r="I234" t="s">
        <v>41</v>
      </c>
      <c r="J234" t="s">
        <v>29</v>
      </c>
      <c r="K234">
        <v>10</v>
      </c>
      <c r="L234">
        <v>1</v>
      </c>
      <c r="M234" s="2">
        <f t="shared" si="3"/>
        <v>27066.923999999999</v>
      </c>
      <c r="N234" s="2" t="str">
        <f>IF(Tabla1[[#This Row],[Aprobación_Veterinaria]]=1,"APROBADO","NO APROBADO")</f>
        <v>APROBADO</v>
      </c>
      <c r="O234" t="str">
        <f>IF(Tabla1[[#This Row],[Repite compra?]]=1,"REPITE","NO REPITE")</f>
        <v>REPITE</v>
      </c>
      <c r="P234" t="str">
        <f>IF(Tabla1[[#This Row],[rating_segun encuesta a Consumidor]]&lt;5,"Regular",IF(Tabla1[[#This Row],[rating_segun encuesta a Consumidor]]&gt;8,"Excelente","Bueno"))</f>
        <v>Excelente</v>
      </c>
    </row>
    <row r="235" spans="1:16" x14ac:dyDescent="0.35">
      <c r="A235" s="1">
        <v>43937</v>
      </c>
      <c r="B235">
        <v>4194</v>
      </c>
      <c r="C235" t="s">
        <v>39</v>
      </c>
      <c r="D235">
        <v>103</v>
      </c>
      <c r="E235">
        <v>154.35599999999999</v>
      </c>
      <c r="F235">
        <v>0</v>
      </c>
      <c r="G235" t="s">
        <v>27</v>
      </c>
      <c r="H235" t="s">
        <v>22</v>
      </c>
      <c r="I235" t="s">
        <v>28</v>
      </c>
      <c r="J235" t="s">
        <v>49</v>
      </c>
      <c r="K235">
        <v>1</v>
      </c>
      <c r="L235">
        <v>1</v>
      </c>
      <c r="M235" s="2">
        <f t="shared" si="3"/>
        <v>15898.668</v>
      </c>
      <c r="N235" s="2" t="str">
        <f>IF(Tabla1[[#This Row],[Aprobación_Veterinaria]]=1,"APROBADO","NO APROBADO")</f>
        <v>NO APROBADO</v>
      </c>
      <c r="O235" t="str">
        <f>IF(Tabla1[[#This Row],[Repite compra?]]=1,"REPITE","NO REPITE")</f>
        <v>REPITE</v>
      </c>
      <c r="P235" t="str">
        <f>IF(Tabla1[[#This Row],[rating_segun encuesta a Consumidor]]&lt;5,"Regular",IF(Tabla1[[#This Row],[rating_segun encuesta a Consumidor]]&gt;8,"Excelente","Bueno"))</f>
        <v>Regular</v>
      </c>
    </row>
    <row r="236" spans="1:16" x14ac:dyDescent="0.35">
      <c r="A236" s="1">
        <v>44160</v>
      </c>
      <c r="B236">
        <v>4848</v>
      </c>
      <c r="C236" t="s">
        <v>15</v>
      </c>
      <c r="D236">
        <v>145</v>
      </c>
      <c r="E236">
        <v>155.256</v>
      </c>
      <c r="F236">
        <v>1</v>
      </c>
      <c r="G236" t="s">
        <v>31</v>
      </c>
      <c r="H236" t="s">
        <v>50</v>
      </c>
      <c r="I236" t="s">
        <v>18</v>
      </c>
      <c r="J236" t="s">
        <v>29</v>
      </c>
      <c r="K236">
        <v>1</v>
      </c>
      <c r="L236">
        <v>1</v>
      </c>
      <c r="M236" s="2">
        <f t="shared" si="3"/>
        <v>22512.12</v>
      </c>
      <c r="N236" s="2" t="str">
        <f>IF(Tabla1[[#This Row],[Aprobación_Veterinaria]]=1,"APROBADO","NO APROBADO")</f>
        <v>APROBADO</v>
      </c>
      <c r="O236" t="str">
        <f>IF(Tabla1[[#This Row],[Repite compra?]]=1,"REPITE","NO REPITE")</f>
        <v>REPITE</v>
      </c>
      <c r="P236" t="str">
        <f>IF(Tabla1[[#This Row],[rating_segun encuesta a Consumidor]]&lt;5,"Regular",IF(Tabla1[[#This Row],[rating_segun encuesta a Consumidor]]&gt;8,"Excelente","Bueno"))</f>
        <v>Regular</v>
      </c>
    </row>
    <row r="237" spans="1:16" x14ac:dyDescent="0.35">
      <c r="A237" s="1">
        <v>44083</v>
      </c>
      <c r="B237">
        <v>4516</v>
      </c>
      <c r="C237" t="s">
        <v>47</v>
      </c>
      <c r="D237">
        <v>16</v>
      </c>
      <c r="E237">
        <v>89.94</v>
      </c>
      <c r="F237">
        <v>1</v>
      </c>
      <c r="G237" t="s">
        <v>33</v>
      </c>
      <c r="H237" t="s">
        <v>22</v>
      </c>
      <c r="I237" t="s">
        <v>45</v>
      </c>
      <c r="J237" t="s">
        <v>29</v>
      </c>
      <c r="K237">
        <v>6</v>
      </c>
      <c r="L237">
        <v>0</v>
      </c>
      <c r="M237" s="2">
        <f t="shared" si="3"/>
        <v>1439.04</v>
      </c>
      <c r="N237" s="2" t="str">
        <f>IF(Tabla1[[#This Row],[Aprobación_Veterinaria]]=1,"APROBADO","NO APROBADO")</f>
        <v>APROBADO</v>
      </c>
      <c r="O237" t="str">
        <f>IF(Tabla1[[#This Row],[Repite compra?]]=1,"REPITE","NO REPITE")</f>
        <v>NO REPITE</v>
      </c>
      <c r="P237" t="str">
        <f>IF(Tabla1[[#This Row],[rating_segun encuesta a Consumidor]]&lt;5,"Regular",IF(Tabla1[[#This Row],[rating_segun encuesta a Consumidor]]&gt;8,"Excelente","Bueno"))</f>
        <v>Bueno</v>
      </c>
    </row>
    <row r="238" spans="1:16" x14ac:dyDescent="0.35">
      <c r="A238" s="1">
        <v>43897</v>
      </c>
      <c r="B238">
        <v>4812</v>
      </c>
      <c r="C238" t="s">
        <v>15</v>
      </c>
      <c r="D238">
        <v>49</v>
      </c>
      <c r="E238">
        <v>225.61199999999999</v>
      </c>
      <c r="F238">
        <v>0</v>
      </c>
      <c r="G238" t="s">
        <v>34</v>
      </c>
      <c r="H238" t="s">
        <v>38</v>
      </c>
      <c r="I238" t="s">
        <v>18</v>
      </c>
      <c r="J238" t="s">
        <v>29</v>
      </c>
      <c r="K238">
        <v>2</v>
      </c>
      <c r="L238">
        <v>1</v>
      </c>
      <c r="M238" s="2">
        <f t="shared" si="3"/>
        <v>11054.987999999999</v>
      </c>
      <c r="N238" s="2" t="str">
        <f>IF(Tabla1[[#This Row],[Aprobación_Veterinaria]]=1,"APROBADO","NO APROBADO")</f>
        <v>NO APROBADO</v>
      </c>
      <c r="O238" t="str">
        <f>IF(Tabla1[[#This Row],[Repite compra?]]=1,"REPITE","NO REPITE")</f>
        <v>REPITE</v>
      </c>
      <c r="P238" t="str">
        <f>IF(Tabla1[[#This Row],[rating_segun encuesta a Consumidor]]&lt;5,"Regular",IF(Tabla1[[#This Row],[rating_segun encuesta a Consumidor]]&gt;8,"Excelente","Bueno"))</f>
        <v>Regular</v>
      </c>
    </row>
    <row r="239" spans="1:16" x14ac:dyDescent="0.35">
      <c r="A239" s="1">
        <v>44094</v>
      </c>
      <c r="B239">
        <v>4576</v>
      </c>
      <c r="C239" t="s">
        <v>32</v>
      </c>
      <c r="D239">
        <v>188</v>
      </c>
      <c r="E239">
        <v>71.58</v>
      </c>
      <c r="F239">
        <v>0</v>
      </c>
      <c r="G239" t="s">
        <v>36</v>
      </c>
      <c r="H239" t="s">
        <v>22</v>
      </c>
      <c r="I239" t="s">
        <v>45</v>
      </c>
      <c r="J239" t="s">
        <v>29</v>
      </c>
      <c r="K239">
        <v>10</v>
      </c>
      <c r="L239">
        <v>0</v>
      </c>
      <c r="M239" s="2">
        <f t="shared" si="3"/>
        <v>13457.039999999999</v>
      </c>
      <c r="N239" s="2" t="str">
        <f>IF(Tabla1[[#This Row],[Aprobación_Veterinaria]]=1,"APROBADO","NO APROBADO")</f>
        <v>NO APROBADO</v>
      </c>
      <c r="O239" t="str">
        <f>IF(Tabla1[[#This Row],[Repite compra?]]=1,"REPITE","NO REPITE")</f>
        <v>NO REPITE</v>
      </c>
      <c r="P239" t="str">
        <f>IF(Tabla1[[#This Row],[rating_segun encuesta a Consumidor]]&lt;5,"Regular",IF(Tabla1[[#This Row],[rating_segun encuesta a Consumidor]]&gt;8,"Excelente","Bueno"))</f>
        <v>Excelente</v>
      </c>
    </row>
    <row r="240" spans="1:16" x14ac:dyDescent="0.35">
      <c r="A240" s="1">
        <v>43896</v>
      </c>
      <c r="B240">
        <v>4713</v>
      </c>
      <c r="C240" t="s">
        <v>43</v>
      </c>
      <c r="D240">
        <v>49</v>
      </c>
      <c r="E240">
        <v>102.24000000000001</v>
      </c>
      <c r="F240">
        <v>1</v>
      </c>
      <c r="G240" t="s">
        <v>37</v>
      </c>
      <c r="H240" t="s">
        <v>50</v>
      </c>
      <c r="I240" t="s">
        <v>41</v>
      </c>
      <c r="J240" t="s">
        <v>23</v>
      </c>
      <c r="K240">
        <v>10</v>
      </c>
      <c r="L240">
        <v>1</v>
      </c>
      <c r="M240" s="2">
        <f t="shared" si="3"/>
        <v>5009.76</v>
      </c>
      <c r="N240" s="2" t="str">
        <f>IF(Tabla1[[#This Row],[Aprobación_Veterinaria]]=1,"APROBADO","NO APROBADO")</f>
        <v>APROBADO</v>
      </c>
      <c r="O240" t="str">
        <f>IF(Tabla1[[#This Row],[Repite compra?]]=1,"REPITE","NO REPITE")</f>
        <v>REPITE</v>
      </c>
      <c r="P240" t="str">
        <f>IF(Tabla1[[#This Row],[rating_segun encuesta a Consumidor]]&lt;5,"Regular",IF(Tabla1[[#This Row],[rating_segun encuesta a Consumidor]]&gt;8,"Excelente","Bueno"))</f>
        <v>Excelente</v>
      </c>
    </row>
    <row r="241" spans="1:16" x14ac:dyDescent="0.35">
      <c r="A241" s="1">
        <v>44101</v>
      </c>
      <c r="B241">
        <v>4310</v>
      </c>
      <c r="C241" t="s">
        <v>15</v>
      </c>
      <c r="D241">
        <v>105</v>
      </c>
      <c r="E241">
        <v>47.34</v>
      </c>
      <c r="F241">
        <v>1</v>
      </c>
      <c r="G241" t="s">
        <v>40</v>
      </c>
      <c r="H241" t="s">
        <v>22</v>
      </c>
      <c r="I241" t="s">
        <v>35</v>
      </c>
      <c r="J241" t="s">
        <v>29</v>
      </c>
      <c r="K241">
        <v>9</v>
      </c>
      <c r="L241">
        <v>1</v>
      </c>
      <c r="M241" s="2">
        <f t="shared" si="3"/>
        <v>4970.7000000000007</v>
      </c>
      <c r="N241" s="2" t="str">
        <f>IF(Tabla1[[#This Row],[Aprobación_Veterinaria]]=1,"APROBADO","NO APROBADO")</f>
        <v>APROBADO</v>
      </c>
      <c r="O241" t="str">
        <f>IF(Tabla1[[#This Row],[Repite compra?]]=1,"REPITE","NO REPITE")</f>
        <v>REPITE</v>
      </c>
      <c r="P241" t="str">
        <f>IF(Tabla1[[#This Row],[rating_segun encuesta a Consumidor]]&lt;5,"Regular",IF(Tabla1[[#This Row],[rating_segun encuesta a Consumidor]]&gt;8,"Excelente","Bueno"))</f>
        <v>Excelente</v>
      </c>
    </row>
    <row r="242" spans="1:16" x14ac:dyDescent="0.35">
      <c r="A242" s="1">
        <v>44136</v>
      </c>
      <c r="B242">
        <v>4885</v>
      </c>
      <c r="C242" t="s">
        <v>26</v>
      </c>
      <c r="D242">
        <v>116</v>
      </c>
      <c r="E242">
        <v>51.6</v>
      </c>
      <c r="F242">
        <v>1</v>
      </c>
      <c r="G242" t="s">
        <v>16</v>
      </c>
      <c r="H242" t="s">
        <v>44</v>
      </c>
      <c r="I242" t="s">
        <v>41</v>
      </c>
      <c r="J242" t="s">
        <v>23</v>
      </c>
      <c r="K242">
        <v>6</v>
      </c>
      <c r="L242">
        <v>0</v>
      </c>
      <c r="M242" s="2">
        <f t="shared" si="3"/>
        <v>5985.6</v>
      </c>
      <c r="N242" s="2" t="str">
        <f>IF(Tabla1[[#This Row],[Aprobación_Veterinaria]]=1,"APROBADO","NO APROBADO")</f>
        <v>APROBADO</v>
      </c>
      <c r="O242" t="str">
        <f>IF(Tabla1[[#This Row],[Repite compra?]]=1,"REPITE","NO REPITE")</f>
        <v>NO REPITE</v>
      </c>
      <c r="P242" t="str">
        <f>IF(Tabla1[[#This Row],[rating_segun encuesta a Consumidor]]&lt;5,"Regular",IF(Tabla1[[#This Row],[rating_segun encuesta a Consumidor]]&gt;8,"Excelente","Bueno"))</f>
        <v>Bueno</v>
      </c>
    </row>
    <row r="243" spans="1:16" x14ac:dyDescent="0.35">
      <c r="A243" s="1">
        <v>43948</v>
      </c>
      <c r="B243">
        <v>4192</v>
      </c>
      <c r="C243" t="s">
        <v>42</v>
      </c>
      <c r="D243">
        <v>83</v>
      </c>
      <c r="E243">
        <v>131.71199999999999</v>
      </c>
      <c r="F243">
        <v>0</v>
      </c>
      <c r="G243" t="s">
        <v>21</v>
      </c>
      <c r="H243" t="s">
        <v>22</v>
      </c>
      <c r="I243" t="s">
        <v>18</v>
      </c>
      <c r="J243" t="s">
        <v>53</v>
      </c>
      <c r="K243">
        <v>1</v>
      </c>
      <c r="L243">
        <v>0</v>
      </c>
      <c r="M243" s="2">
        <f t="shared" si="3"/>
        <v>10932.096</v>
      </c>
      <c r="N243" s="2" t="str">
        <f>IF(Tabla1[[#This Row],[Aprobación_Veterinaria]]=1,"APROBADO","NO APROBADO")</f>
        <v>NO APROBADO</v>
      </c>
      <c r="O243" t="str">
        <f>IF(Tabla1[[#This Row],[Repite compra?]]=1,"REPITE","NO REPITE")</f>
        <v>NO REPITE</v>
      </c>
      <c r="P243" t="str">
        <f>IF(Tabla1[[#This Row],[rating_segun encuesta a Consumidor]]&lt;5,"Regular",IF(Tabla1[[#This Row],[rating_segun encuesta a Consumidor]]&gt;8,"Excelente","Bueno"))</f>
        <v>Regular</v>
      </c>
    </row>
    <row r="244" spans="1:16" x14ac:dyDescent="0.35">
      <c r="A244" s="1">
        <v>43919</v>
      </c>
      <c r="B244">
        <v>4275</v>
      </c>
      <c r="C244" t="s">
        <v>43</v>
      </c>
      <c r="D244">
        <v>25</v>
      </c>
      <c r="E244">
        <v>146.54400000000001</v>
      </c>
      <c r="F244">
        <v>1</v>
      </c>
      <c r="G244" t="s">
        <v>24</v>
      </c>
      <c r="H244" t="s">
        <v>22</v>
      </c>
      <c r="I244" t="s">
        <v>35</v>
      </c>
      <c r="J244" t="s">
        <v>23</v>
      </c>
      <c r="K244">
        <v>4</v>
      </c>
      <c r="L244">
        <v>1</v>
      </c>
      <c r="M244" s="2">
        <f t="shared" si="3"/>
        <v>3663.6000000000004</v>
      </c>
      <c r="N244" s="2" t="str">
        <f>IF(Tabla1[[#This Row],[Aprobación_Veterinaria]]=1,"APROBADO","NO APROBADO")</f>
        <v>APROBADO</v>
      </c>
      <c r="O244" t="str">
        <f>IF(Tabla1[[#This Row],[Repite compra?]]=1,"REPITE","NO REPITE")</f>
        <v>REPITE</v>
      </c>
      <c r="P244" t="str">
        <f>IF(Tabla1[[#This Row],[rating_segun encuesta a Consumidor]]&lt;5,"Regular",IF(Tabla1[[#This Row],[rating_segun encuesta a Consumidor]]&gt;8,"Excelente","Bueno"))</f>
        <v>Regular</v>
      </c>
    </row>
    <row r="245" spans="1:16" x14ac:dyDescent="0.35">
      <c r="A245" s="1">
        <v>44034</v>
      </c>
      <c r="B245">
        <v>4807</v>
      </c>
      <c r="C245" t="s">
        <v>26</v>
      </c>
      <c r="D245">
        <v>76</v>
      </c>
      <c r="E245">
        <v>173.60400000000001</v>
      </c>
      <c r="F245">
        <v>0</v>
      </c>
      <c r="G245" t="s">
        <v>27</v>
      </c>
      <c r="H245" t="s">
        <v>38</v>
      </c>
      <c r="I245" t="s">
        <v>41</v>
      </c>
      <c r="J245" t="s">
        <v>23</v>
      </c>
      <c r="K245">
        <v>2</v>
      </c>
      <c r="L245">
        <v>1</v>
      </c>
      <c r="M245" s="2">
        <f t="shared" si="3"/>
        <v>13193.904</v>
      </c>
      <c r="N245" s="2" t="str">
        <f>IF(Tabla1[[#This Row],[Aprobación_Veterinaria]]=1,"APROBADO","NO APROBADO")</f>
        <v>NO APROBADO</v>
      </c>
      <c r="O245" t="str">
        <f>IF(Tabla1[[#This Row],[Repite compra?]]=1,"REPITE","NO REPITE")</f>
        <v>REPITE</v>
      </c>
      <c r="P245" t="str">
        <f>IF(Tabla1[[#This Row],[rating_segun encuesta a Consumidor]]&lt;5,"Regular",IF(Tabla1[[#This Row],[rating_segun encuesta a Consumidor]]&gt;8,"Excelente","Bueno"))</f>
        <v>Regular</v>
      </c>
    </row>
    <row r="246" spans="1:16" x14ac:dyDescent="0.35">
      <c r="A246" s="1">
        <v>43904</v>
      </c>
      <c r="B246">
        <v>4248</v>
      </c>
      <c r="C246" t="s">
        <v>20</v>
      </c>
      <c r="D246">
        <v>18</v>
      </c>
      <c r="E246">
        <v>182.79599999999999</v>
      </c>
      <c r="F246">
        <v>1</v>
      </c>
      <c r="G246" t="s">
        <v>31</v>
      </c>
      <c r="H246" t="s">
        <v>22</v>
      </c>
      <c r="I246" t="s">
        <v>41</v>
      </c>
      <c r="J246" t="s">
        <v>49</v>
      </c>
      <c r="K246">
        <v>1</v>
      </c>
      <c r="L246">
        <v>1</v>
      </c>
      <c r="M246" s="2">
        <f t="shared" si="3"/>
        <v>3290.328</v>
      </c>
      <c r="N246" s="2" t="str">
        <f>IF(Tabla1[[#This Row],[Aprobación_Veterinaria]]=1,"APROBADO","NO APROBADO")</f>
        <v>APROBADO</v>
      </c>
      <c r="O246" t="str">
        <f>IF(Tabla1[[#This Row],[Repite compra?]]=1,"REPITE","NO REPITE")</f>
        <v>REPITE</v>
      </c>
      <c r="P246" t="str">
        <f>IF(Tabla1[[#This Row],[rating_segun encuesta a Consumidor]]&lt;5,"Regular",IF(Tabla1[[#This Row],[rating_segun encuesta a Consumidor]]&gt;8,"Excelente","Bueno"))</f>
        <v>Regular</v>
      </c>
    </row>
    <row r="247" spans="1:16" x14ac:dyDescent="0.35">
      <c r="A247" s="1">
        <v>44118</v>
      </c>
      <c r="B247">
        <v>4429</v>
      </c>
      <c r="C247" t="s">
        <v>43</v>
      </c>
      <c r="D247">
        <v>180</v>
      </c>
      <c r="E247">
        <v>177.45600000000002</v>
      </c>
      <c r="F247">
        <v>0</v>
      </c>
      <c r="G247" t="s">
        <v>33</v>
      </c>
      <c r="H247" t="s">
        <v>22</v>
      </c>
      <c r="I247" t="s">
        <v>28</v>
      </c>
      <c r="J247" t="s">
        <v>23</v>
      </c>
      <c r="K247">
        <v>10</v>
      </c>
      <c r="L247">
        <v>0</v>
      </c>
      <c r="M247" s="2">
        <f t="shared" si="3"/>
        <v>31942.080000000002</v>
      </c>
      <c r="N247" s="2" t="str">
        <f>IF(Tabla1[[#This Row],[Aprobación_Veterinaria]]=1,"APROBADO","NO APROBADO")</f>
        <v>NO APROBADO</v>
      </c>
      <c r="O247" t="str">
        <f>IF(Tabla1[[#This Row],[Repite compra?]]=1,"REPITE","NO REPITE")</f>
        <v>NO REPITE</v>
      </c>
      <c r="P247" t="str">
        <f>IF(Tabla1[[#This Row],[rating_segun encuesta a Consumidor]]&lt;5,"Regular",IF(Tabla1[[#This Row],[rating_segun encuesta a Consumidor]]&gt;8,"Excelente","Bueno"))</f>
        <v>Excelente</v>
      </c>
    </row>
    <row r="248" spans="1:16" x14ac:dyDescent="0.35">
      <c r="A248" s="1">
        <v>44106</v>
      </c>
      <c r="B248">
        <v>4810</v>
      </c>
      <c r="C248" t="s">
        <v>26</v>
      </c>
      <c r="D248">
        <v>102</v>
      </c>
      <c r="E248">
        <v>156.91200000000001</v>
      </c>
      <c r="F248">
        <v>0</v>
      </c>
      <c r="G248" t="s">
        <v>34</v>
      </c>
      <c r="H248" t="s">
        <v>44</v>
      </c>
      <c r="I248" t="s">
        <v>18</v>
      </c>
      <c r="J248" t="s">
        <v>29</v>
      </c>
      <c r="K248">
        <v>2</v>
      </c>
      <c r="L248">
        <v>1</v>
      </c>
      <c r="M248" s="2">
        <f t="shared" si="3"/>
        <v>16005.024000000001</v>
      </c>
      <c r="N248" s="2" t="str">
        <f>IF(Tabla1[[#This Row],[Aprobación_Veterinaria]]=1,"APROBADO","NO APROBADO")</f>
        <v>NO APROBADO</v>
      </c>
      <c r="O248" t="str">
        <f>IF(Tabla1[[#This Row],[Repite compra?]]=1,"REPITE","NO REPITE")</f>
        <v>REPITE</v>
      </c>
      <c r="P248" t="str">
        <f>IF(Tabla1[[#This Row],[rating_segun encuesta a Consumidor]]&lt;5,"Regular",IF(Tabla1[[#This Row],[rating_segun encuesta a Consumidor]]&gt;8,"Excelente","Bueno"))</f>
        <v>Regular</v>
      </c>
    </row>
    <row r="249" spans="1:16" x14ac:dyDescent="0.35">
      <c r="A249" s="1">
        <v>44040</v>
      </c>
      <c r="B249">
        <v>4904</v>
      </c>
      <c r="C249" t="s">
        <v>20</v>
      </c>
      <c r="D249">
        <v>41</v>
      </c>
      <c r="E249">
        <v>160.22399999999999</v>
      </c>
      <c r="F249">
        <v>1</v>
      </c>
      <c r="G249" t="s">
        <v>36</v>
      </c>
      <c r="H249" t="s">
        <v>54</v>
      </c>
      <c r="I249" t="s">
        <v>18</v>
      </c>
      <c r="J249" t="s">
        <v>29</v>
      </c>
      <c r="K249">
        <v>6</v>
      </c>
      <c r="L249">
        <v>0</v>
      </c>
      <c r="M249" s="2">
        <f t="shared" si="3"/>
        <v>6569.1839999999993</v>
      </c>
      <c r="N249" s="2" t="str">
        <f>IF(Tabla1[[#This Row],[Aprobación_Veterinaria]]=1,"APROBADO","NO APROBADO")</f>
        <v>APROBADO</v>
      </c>
      <c r="O249" t="str">
        <f>IF(Tabla1[[#This Row],[Repite compra?]]=1,"REPITE","NO REPITE")</f>
        <v>NO REPITE</v>
      </c>
      <c r="P249" t="str">
        <f>IF(Tabla1[[#This Row],[rating_segun encuesta a Consumidor]]&lt;5,"Regular",IF(Tabla1[[#This Row],[rating_segun encuesta a Consumidor]]&gt;8,"Excelente","Bueno"))</f>
        <v>Bueno</v>
      </c>
    </row>
    <row r="250" spans="1:16" x14ac:dyDescent="0.35">
      <c r="A250" s="1">
        <v>44185</v>
      </c>
      <c r="B250">
        <v>4806</v>
      </c>
      <c r="C250" t="s">
        <v>15</v>
      </c>
      <c r="D250">
        <v>147</v>
      </c>
      <c r="E250">
        <v>199.14000000000001</v>
      </c>
      <c r="F250">
        <v>0</v>
      </c>
      <c r="G250" t="s">
        <v>37</v>
      </c>
      <c r="H250" t="s">
        <v>48</v>
      </c>
      <c r="I250" t="s">
        <v>18</v>
      </c>
      <c r="J250" t="s">
        <v>29</v>
      </c>
      <c r="K250">
        <v>2</v>
      </c>
      <c r="L250">
        <v>1</v>
      </c>
      <c r="M250" s="2">
        <f t="shared" si="3"/>
        <v>29273.58</v>
      </c>
      <c r="N250" s="2" t="str">
        <f>IF(Tabla1[[#This Row],[Aprobación_Veterinaria]]=1,"APROBADO","NO APROBADO")</f>
        <v>NO APROBADO</v>
      </c>
      <c r="O250" t="str">
        <f>IF(Tabla1[[#This Row],[Repite compra?]]=1,"REPITE","NO REPITE")</f>
        <v>REPITE</v>
      </c>
      <c r="P250" t="str">
        <f>IF(Tabla1[[#This Row],[rating_segun encuesta a Consumidor]]&lt;5,"Regular",IF(Tabla1[[#This Row],[rating_segun encuesta a Consumidor]]&gt;8,"Excelente","Bueno"))</f>
        <v>Regular</v>
      </c>
    </row>
    <row r="251" spans="1:16" x14ac:dyDescent="0.35">
      <c r="A251" s="1">
        <v>43905</v>
      </c>
      <c r="B251">
        <v>4527</v>
      </c>
      <c r="C251" t="s">
        <v>47</v>
      </c>
      <c r="D251">
        <v>82</v>
      </c>
      <c r="E251">
        <v>13.752000000000001</v>
      </c>
      <c r="F251">
        <v>1</v>
      </c>
      <c r="G251" t="s">
        <v>40</v>
      </c>
      <c r="H251" t="s">
        <v>22</v>
      </c>
      <c r="I251" t="s">
        <v>18</v>
      </c>
      <c r="J251" t="s">
        <v>23</v>
      </c>
      <c r="K251">
        <v>9</v>
      </c>
      <c r="L251">
        <v>0</v>
      </c>
      <c r="M251" s="2">
        <f t="shared" si="3"/>
        <v>1127.664</v>
      </c>
      <c r="N251" s="2" t="str">
        <f>IF(Tabla1[[#This Row],[Aprobación_Veterinaria]]=1,"APROBADO","NO APROBADO")</f>
        <v>APROBADO</v>
      </c>
      <c r="O251" t="str">
        <f>IF(Tabla1[[#This Row],[Repite compra?]]=1,"REPITE","NO REPITE")</f>
        <v>NO REPITE</v>
      </c>
      <c r="P251" t="str">
        <f>IF(Tabla1[[#This Row],[rating_segun encuesta a Consumidor]]&lt;5,"Regular",IF(Tabla1[[#This Row],[rating_segun encuesta a Consumidor]]&gt;8,"Excelente","Bueno"))</f>
        <v>Excelente</v>
      </c>
    </row>
    <row r="252" spans="1:16" x14ac:dyDescent="0.35">
      <c r="A252" s="1">
        <v>44045</v>
      </c>
      <c r="B252">
        <v>4680</v>
      </c>
      <c r="C252" t="s">
        <v>43</v>
      </c>
      <c r="D252">
        <v>52</v>
      </c>
      <c r="E252">
        <v>162.91200000000001</v>
      </c>
      <c r="F252">
        <v>1</v>
      </c>
      <c r="G252" t="s">
        <v>16</v>
      </c>
      <c r="H252" t="s">
        <v>22</v>
      </c>
      <c r="I252" t="s">
        <v>35</v>
      </c>
      <c r="J252" t="s">
        <v>29</v>
      </c>
      <c r="K252">
        <v>10</v>
      </c>
      <c r="L252">
        <v>0</v>
      </c>
      <c r="M252" s="2">
        <f t="shared" si="3"/>
        <v>8471.4240000000009</v>
      </c>
      <c r="N252" s="2" t="str">
        <f>IF(Tabla1[[#This Row],[Aprobación_Veterinaria]]=1,"APROBADO","NO APROBADO")</f>
        <v>APROBADO</v>
      </c>
      <c r="O252" t="str">
        <f>IF(Tabla1[[#This Row],[Repite compra?]]=1,"REPITE","NO REPITE")</f>
        <v>NO REPITE</v>
      </c>
      <c r="P252" t="str">
        <f>IF(Tabla1[[#This Row],[rating_segun encuesta a Consumidor]]&lt;5,"Regular",IF(Tabla1[[#This Row],[rating_segun encuesta a Consumidor]]&gt;8,"Excelente","Bueno"))</f>
        <v>Excelente</v>
      </c>
    </row>
    <row r="253" spans="1:16" x14ac:dyDescent="0.35">
      <c r="A253" s="1">
        <v>44149</v>
      </c>
      <c r="B253">
        <v>4408</v>
      </c>
      <c r="C253" t="s">
        <v>26</v>
      </c>
      <c r="D253">
        <v>143</v>
      </c>
      <c r="E253">
        <v>101.124</v>
      </c>
      <c r="F253">
        <v>0</v>
      </c>
      <c r="G253" t="s">
        <v>21</v>
      </c>
      <c r="H253" t="s">
        <v>22</v>
      </c>
      <c r="I253" t="s">
        <v>41</v>
      </c>
      <c r="J253" t="s">
        <v>29</v>
      </c>
      <c r="K253">
        <v>5</v>
      </c>
      <c r="L253">
        <v>0</v>
      </c>
      <c r="M253" s="2">
        <f t="shared" si="3"/>
        <v>14460.732</v>
      </c>
      <c r="N253" s="2" t="str">
        <f>IF(Tabla1[[#This Row],[Aprobación_Veterinaria]]=1,"APROBADO","NO APROBADO")</f>
        <v>NO APROBADO</v>
      </c>
      <c r="O253" t="str">
        <f>IF(Tabla1[[#This Row],[Repite compra?]]=1,"REPITE","NO REPITE")</f>
        <v>NO REPITE</v>
      </c>
      <c r="P253" t="str">
        <f>IF(Tabla1[[#This Row],[rating_segun encuesta a Consumidor]]&lt;5,"Regular",IF(Tabla1[[#This Row],[rating_segun encuesta a Consumidor]]&gt;8,"Excelente","Bueno"))</f>
        <v>Bueno</v>
      </c>
    </row>
    <row r="254" spans="1:16" x14ac:dyDescent="0.35">
      <c r="A254" s="1">
        <v>43972</v>
      </c>
      <c r="B254">
        <v>4305</v>
      </c>
      <c r="C254" t="s">
        <v>30</v>
      </c>
      <c r="D254">
        <v>102</v>
      </c>
      <c r="E254">
        <v>98.34</v>
      </c>
      <c r="F254">
        <v>0</v>
      </c>
      <c r="G254" t="s">
        <v>24</v>
      </c>
      <c r="H254" t="s">
        <v>22</v>
      </c>
      <c r="I254" t="s">
        <v>35</v>
      </c>
      <c r="J254" t="s">
        <v>23</v>
      </c>
      <c r="K254">
        <v>1</v>
      </c>
      <c r="L254">
        <v>0</v>
      </c>
      <c r="M254" s="2">
        <f t="shared" si="3"/>
        <v>10030.68</v>
      </c>
      <c r="N254" s="2" t="str">
        <f>IF(Tabla1[[#This Row],[Aprobación_Veterinaria]]=1,"APROBADO","NO APROBADO")</f>
        <v>NO APROBADO</v>
      </c>
      <c r="O254" t="str">
        <f>IF(Tabla1[[#This Row],[Repite compra?]]=1,"REPITE","NO REPITE")</f>
        <v>NO REPITE</v>
      </c>
      <c r="P254" t="str">
        <f>IF(Tabla1[[#This Row],[rating_segun encuesta a Consumidor]]&lt;5,"Regular",IF(Tabla1[[#This Row],[rating_segun encuesta a Consumidor]]&gt;8,"Excelente","Bueno"))</f>
        <v>Regular</v>
      </c>
    </row>
    <row r="255" spans="1:16" x14ac:dyDescent="0.35">
      <c r="A255" s="1">
        <v>43871</v>
      </c>
      <c r="B255">
        <v>4302</v>
      </c>
      <c r="C255" t="s">
        <v>42</v>
      </c>
      <c r="D255">
        <v>27</v>
      </c>
      <c r="E255">
        <v>205.16400000000002</v>
      </c>
      <c r="F255">
        <v>1</v>
      </c>
      <c r="G255" t="s">
        <v>27</v>
      </c>
      <c r="H255" t="s">
        <v>22</v>
      </c>
      <c r="I255" t="s">
        <v>18</v>
      </c>
      <c r="J255" t="s">
        <v>49</v>
      </c>
      <c r="K255">
        <v>9</v>
      </c>
      <c r="L255">
        <v>1</v>
      </c>
      <c r="M255" s="2">
        <f t="shared" si="3"/>
        <v>5539.4280000000008</v>
      </c>
      <c r="N255" s="2" t="str">
        <f>IF(Tabla1[[#This Row],[Aprobación_Veterinaria]]=1,"APROBADO","NO APROBADO")</f>
        <v>APROBADO</v>
      </c>
      <c r="O255" t="str">
        <f>IF(Tabla1[[#This Row],[Repite compra?]]=1,"REPITE","NO REPITE")</f>
        <v>REPITE</v>
      </c>
      <c r="P255" t="str">
        <f>IF(Tabla1[[#This Row],[rating_segun encuesta a Consumidor]]&lt;5,"Regular",IF(Tabla1[[#This Row],[rating_segun encuesta a Consumidor]]&gt;8,"Excelente","Bueno"))</f>
        <v>Excelente</v>
      </c>
    </row>
    <row r="256" spans="1:16" x14ac:dyDescent="0.35">
      <c r="A256" s="1">
        <v>43852</v>
      </c>
      <c r="B256">
        <v>4328</v>
      </c>
      <c r="C256" t="s">
        <v>51</v>
      </c>
      <c r="D256">
        <v>109</v>
      </c>
      <c r="E256">
        <v>65.927999999999997</v>
      </c>
      <c r="F256">
        <v>0</v>
      </c>
      <c r="G256" t="s">
        <v>31</v>
      </c>
      <c r="H256" t="s">
        <v>22</v>
      </c>
      <c r="I256" t="s">
        <v>41</v>
      </c>
      <c r="J256" t="s">
        <v>29</v>
      </c>
      <c r="K256">
        <v>4</v>
      </c>
      <c r="L256">
        <v>0</v>
      </c>
      <c r="M256" s="2">
        <f t="shared" si="3"/>
        <v>7186.152</v>
      </c>
      <c r="N256" s="2" t="str">
        <f>IF(Tabla1[[#This Row],[Aprobación_Veterinaria]]=1,"APROBADO","NO APROBADO")</f>
        <v>NO APROBADO</v>
      </c>
      <c r="O256" t="str">
        <f>IF(Tabla1[[#This Row],[Repite compra?]]=1,"REPITE","NO REPITE")</f>
        <v>NO REPITE</v>
      </c>
      <c r="P256" t="str">
        <f>IF(Tabla1[[#This Row],[rating_segun encuesta a Consumidor]]&lt;5,"Regular",IF(Tabla1[[#This Row],[rating_segun encuesta a Consumidor]]&gt;8,"Excelente","Bueno"))</f>
        <v>Regular</v>
      </c>
    </row>
    <row r="257" spans="1:16" x14ac:dyDescent="0.35">
      <c r="A257" s="1">
        <v>44105</v>
      </c>
      <c r="B257">
        <v>4882</v>
      </c>
      <c r="C257" t="s">
        <v>26</v>
      </c>
      <c r="D257">
        <v>49</v>
      </c>
      <c r="E257">
        <v>155.50800000000001</v>
      </c>
      <c r="F257">
        <v>0</v>
      </c>
      <c r="G257" t="s">
        <v>33</v>
      </c>
      <c r="H257" t="s">
        <v>38</v>
      </c>
      <c r="I257" t="s">
        <v>18</v>
      </c>
      <c r="J257" t="s">
        <v>29</v>
      </c>
      <c r="K257">
        <v>6</v>
      </c>
      <c r="L257">
        <v>0</v>
      </c>
      <c r="M257" s="2">
        <f t="shared" si="3"/>
        <v>7619.8920000000007</v>
      </c>
      <c r="N257" s="2" t="str">
        <f>IF(Tabla1[[#This Row],[Aprobación_Veterinaria]]=1,"APROBADO","NO APROBADO")</f>
        <v>NO APROBADO</v>
      </c>
      <c r="O257" t="str">
        <f>IF(Tabla1[[#This Row],[Repite compra?]]=1,"REPITE","NO REPITE")</f>
        <v>NO REPITE</v>
      </c>
      <c r="P257" t="str">
        <f>IF(Tabla1[[#This Row],[rating_segun encuesta a Consumidor]]&lt;5,"Regular",IF(Tabla1[[#This Row],[rating_segun encuesta a Consumidor]]&gt;8,"Excelente","Bueno"))</f>
        <v>Bueno</v>
      </c>
    </row>
    <row r="258" spans="1:16" x14ac:dyDescent="0.35">
      <c r="A258" s="1">
        <v>44117</v>
      </c>
      <c r="B258">
        <v>4911</v>
      </c>
      <c r="C258" t="s">
        <v>15</v>
      </c>
      <c r="D258">
        <v>61</v>
      </c>
      <c r="E258">
        <v>24.876000000000001</v>
      </c>
      <c r="F258">
        <v>1</v>
      </c>
      <c r="G258" t="s">
        <v>34</v>
      </c>
      <c r="H258" t="s">
        <v>48</v>
      </c>
      <c r="I258" t="s">
        <v>41</v>
      </c>
      <c r="J258" t="s">
        <v>23</v>
      </c>
      <c r="K258">
        <v>6</v>
      </c>
      <c r="L258">
        <v>0</v>
      </c>
      <c r="M258" s="2">
        <f t="shared" ref="M258:M321" si="4">D258*E258</f>
        <v>1517.4360000000001</v>
      </c>
      <c r="N258" s="2" t="str">
        <f>IF(Tabla1[[#This Row],[Aprobación_Veterinaria]]=1,"APROBADO","NO APROBADO")</f>
        <v>APROBADO</v>
      </c>
      <c r="O258" t="str">
        <f>IF(Tabla1[[#This Row],[Repite compra?]]=1,"REPITE","NO REPITE")</f>
        <v>NO REPITE</v>
      </c>
      <c r="P258" t="str">
        <f>IF(Tabla1[[#This Row],[rating_segun encuesta a Consumidor]]&lt;5,"Regular",IF(Tabla1[[#This Row],[rating_segun encuesta a Consumidor]]&gt;8,"Excelente","Bueno"))</f>
        <v>Bueno</v>
      </c>
    </row>
    <row r="259" spans="1:16" x14ac:dyDescent="0.35">
      <c r="A259" s="1">
        <v>43996</v>
      </c>
      <c r="B259">
        <v>4771</v>
      </c>
      <c r="C259" t="s">
        <v>26</v>
      </c>
      <c r="D259">
        <v>93</v>
      </c>
      <c r="E259">
        <v>22.548000000000002</v>
      </c>
      <c r="F259">
        <v>1</v>
      </c>
      <c r="G259" t="s">
        <v>36</v>
      </c>
      <c r="H259" t="s">
        <v>48</v>
      </c>
      <c r="I259" t="s">
        <v>41</v>
      </c>
      <c r="J259" t="s">
        <v>23</v>
      </c>
      <c r="K259">
        <v>7</v>
      </c>
      <c r="L259">
        <v>0</v>
      </c>
      <c r="M259" s="2">
        <f t="shared" si="4"/>
        <v>2096.9639999999999</v>
      </c>
      <c r="N259" s="2" t="str">
        <f>IF(Tabla1[[#This Row],[Aprobación_Veterinaria]]=1,"APROBADO","NO APROBADO")</f>
        <v>APROBADO</v>
      </c>
      <c r="O259" t="str">
        <f>IF(Tabla1[[#This Row],[Repite compra?]]=1,"REPITE","NO REPITE")</f>
        <v>NO REPITE</v>
      </c>
      <c r="P259" t="str">
        <f>IF(Tabla1[[#This Row],[rating_segun encuesta a Consumidor]]&lt;5,"Regular",IF(Tabla1[[#This Row],[rating_segun encuesta a Consumidor]]&gt;8,"Excelente","Bueno"))</f>
        <v>Bueno</v>
      </c>
    </row>
    <row r="260" spans="1:16" x14ac:dyDescent="0.35">
      <c r="A260" s="1">
        <v>44093</v>
      </c>
      <c r="B260">
        <v>4961</v>
      </c>
      <c r="C260" t="s">
        <v>20</v>
      </c>
      <c r="D260">
        <v>62</v>
      </c>
      <c r="E260">
        <v>38.160000000000004</v>
      </c>
      <c r="F260">
        <v>1</v>
      </c>
      <c r="G260" t="s">
        <v>37</v>
      </c>
      <c r="H260" t="s">
        <v>48</v>
      </c>
      <c r="I260" t="s">
        <v>41</v>
      </c>
      <c r="J260" t="s">
        <v>49</v>
      </c>
      <c r="K260">
        <v>6</v>
      </c>
      <c r="L260">
        <v>0</v>
      </c>
      <c r="M260" s="2">
        <f t="shared" si="4"/>
        <v>2365.92</v>
      </c>
      <c r="N260" s="2" t="str">
        <f>IF(Tabla1[[#This Row],[Aprobación_Veterinaria]]=1,"APROBADO","NO APROBADO")</f>
        <v>APROBADO</v>
      </c>
      <c r="O260" t="str">
        <f>IF(Tabla1[[#This Row],[Repite compra?]]=1,"REPITE","NO REPITE")</f>
        <v>NO REPITE</v>
      </c>
      <c r="P260" t="str">
        <f>IF(Tabla1[[#This Row],[rating_segun encuesta a Consumidor]]&lt;5,"Regular",IF(Tabla1[[#This Row],[rating_segun encuesta a Consumidor]]&gt;8,"Excelente","Bueno"))</f>
        <v>Bueno</v>
      </c>
    </row>
    <row r="261" spans="1:16" x14ac:dyDescent="0.35">
      <c r="A261" s="1">
        <v>44190</v>
      </c>
      <c r="B261">
        <v>4761</v>
      </c>
      <c r="C261" t="s">
        <v>43</v>
      </c>
      <c r="D261">
        <v>111</v>
      </c>
      <c r="E261">
        <v>132</v>
      </c>
      <c r="F261">
        <v>1</v>
      </c>
      <c r="G261" t="s">
        <v>40</v>
      </c>
      <c r="H261" t="s">
        <v>48</v>
      </c>
      <c r="I261" t="s">
        <v>41</v>
      </c>
      <c r="J261" t="s">
        <v>23</v>
      </c>
      <c r="K261">
        <v>7</v>
      </c>
      <c r="L261">
        <v>0</v>
      </c>
      <c r="M261" s="2">
        <f t="shared" si="4"/>
        <v>14652</v>
      </c>
      <c r="N261" s="2" t="str">
        <f>IF(Tabla1[[#This Row],[Aprobación_Veterinaria]]=1,"APROBADO","NO APROBADO")</f>
        <v>APROBADO</v>
      </c>
      <c r="O261" t="str">
        <f>IF(Tabla1[[#This Row],[Repite compra?]]=1,"REPITE","NO REPITE")</f>
        <v>NO REPITE</v>
      </c>
      <c r="P261" t="str">
        <f>IF(Tabla1[[#This Row],[rating_segun encuesta a Consumidor]]&lt;5,"Regular",IF(Tabla1[[#This Row],[rating_segun encuesta a Consumidor]]&gt;8,"Excelente","Bueno"))</f>
        <v>Bueno</v>
      </c>
    </row>
    <row r="262" spans="1:16" x14ac:dyDescent="0.35">
      <c r="A262" s="1">
        <v>43922</v>
      </c>
      <c r="B262">
        <v>4611</v>
      </c>
      <c r="C262" t="s">
        <v>20</v>
      </c>
      <c r="D262">
        <v>94</v>
      </c>
      <c r="E262">
        <v>179.76</v>
      </c>
      <c r="F262">
        <v>1</v>
      </c>
      <c r="G262" t="s">
        <v>16</v>
      </c>
      <c r="H262" t="s">
        <v>22</v>
      </c>
      <c r="I262" t="s">
        <v>45</v>
      </c>
      <c r="J262" t="s">
        <v>23</v>
      </c>
      <c r="K262">
        <v>10</v>
      </c>
      <c r="L262">
        <v>1</v>
      </c>
      <c r="M262" s="2">
        <f t="shared" si="4"/>
        <v>16897.439999999999</v>
      </c>
      <c r="N262" s="2" t="str">
        <f>IF(Tabla1[[#This Row],[Aprobación_Veterinaria]]=1,"APROBADO","NO APROBADO")</f>
        <v>APROBADO</v>
      </c>
      <c r="O262" t="str">
        <f>IF(Tabla1[[#This Row],[Repite compra?]]=1,"REPITE","NO REPITE")</f>
        <v>REPITE</v>
      </c>
      <c r="P262" t="str">
        <f>IF(Tabla1[[#This Row],[rating_segun encuesta a Consumidor]]&lt;5,"Regular",IF(Tabla1[[#This Row],[rating_segun encuesta a Consumidor]]&gt;8,"Excelente","Bueno"))</f>
        <v>Excelente</v>
      </c>
    </row>
    <row r="263" spans="1:16" x14ac:dyDescent="0.35">
      <c r="A263" s="1">
        <v>44035</v>
      </c>
      <c r="B263">
        <v>4369</v>
      </c>
      <c r="C263" t="s">
        <v>20</v>
      </c>
      <c r="D263">
        <v>127</v>
      </c>
      <c r="E263">
        <v>150.828</v>
      </c>
      <c r="F263">
        <v>1</v>
      </c>
      <c r="G263" t="s">
        <v>21</v>
      </c>
      <c r="H263" t="s">
        <v>22</v>
      </c>
      <c r="I263" t="s">
        <v>28</v>
      </c>
      <c r="J263" t="s">
        <v>23</v>
      </c>
      <c r="K263">
        <v>8</v>
      </c>
      <c r="L263">
        <v>0</v>
      </c>
      <c r="M263" s="2">
        <f t="shared" si="4"/>
        <v>19155.155999999999</v>
      </c>
      <c r="N263" s="2" t="str">
        <f>IF(Tabla1[[#This Row],[Aprobación_Veterinaria]]=1,"APROBADO","NO APROBADO")</f>
        <v>APROBADO</v>
      </c>
      <c r="O263" t="str">
        <f>IF(Tabla1[[#This Row],[Repite compra?]]=1,"REPITE","NO REPITE")</f>
        <v>NO REPITE</v>
      </c>
      <c r="P263" t="str">
        <f>IF(Tabla1[[#This Row],[rating_segun encuesta a Consumidor]]&lt;5,"Regular",IF(Tabla1[[#This Row],[rating_segun encuesta a Consumidor]]&gt;8,"Excelente","Bueno"))</f>
        <v>Bueno</v>
      </c>
    </row>
    <row r="264" spans="1:16" x14ac:dyDescent="0.35">
      <c r="A264" s="1">
        <v>43929</v>
      </c>
      <c r="B264">
        <v>5043</v>
      </c>
      <c r="C264" t="s">
        <v>15</v>
      </c>
      <c r="D264">
        <v>214</v>
      </c>
      <c r="E264">
        <v>222.804</v>
      </c>
      <c r="F264">
        <v>1</v>
      </c>
      <c r="G264" t="s">
        <v>24</v>
      </c>
      <c r="H264" t="s">
        <v>52</v>
      </c>
      <c r="I264" t="s">
        <v>41</v>
      </c>
      <c r="J264" t="s">
        <v>49</v>
      </c>
      <c r="K264">
        <v>7</v>
      </c>
      <c r="L264">
        <v>1</v>
      </c>
      <c r="M264" s="2">
        <f t="shared" si="4"/>
        <v>47680.055999999997</v>
      </c>
      <c r="N264" s="2" t="str">
        <f>IF(Tabla1[[#This Row],[Aprobación_Veterinaria]]=1,"APROBADO","NO APROBADO")</f>
        <v>APROBADO</v>
      </c>
      <c r="O264" t="str">
        <f>IF(Tabla1[[#This Row],[Repite compra?]]=1,"REPITE","NO REPITE")</f>
        <v>REPITE</v>
      </c>
      <c r="P264" t="str">
        <f>IF(Tabla1[[#This Row],[rating_segun encuesta a Consumidor]]&lt;5,"Regular",IF(Tabla1[[#This Row],[rating_segun encuesta a Consumidor]]&gt;8,"Excelente","Bueno"))</f>
        <v>Bueno</v>
      </c>
    </row>
    <row r="265" spans="1:16" x14ac:dyDescent="0.35">
      <c r="A265" s="1">
        <v>43938</v>
      </c>
      <c r="B265">
        <v>4354</v>
      </c>
      <c r="C265" t="s">
        <v>15</v>
      </c>
      <c r="D265">
        <v>212</v>
      </c>
      <c r="E265">
        <v>98.915999999999997</v>
      </c>
      <c r="F265">
        <v>1</v>
      </c>
      <c r="G265" t="s">
        <v>27</v>
      </c>
      <c r="H265" t="s">
        <v>22</v>
      </c>
      <c r="I265" t="s">
        <v>28</v>
      </c>
      <c r="J265" t="s">
        <v>29</v>
      </c>
      <c r="K265">
        <v>7</v>
      </c>
      <c r="L265">
        <v>0</v>
      </c>
      <c r="M265" s="2">
        <f t="shared" si="4"/>
        <v>20970.191999999999</v>
      </c>
      <c r="N265" s="2" t="str">
        <f>IF(Tabla1[[#This Row],[Aprobación_Veterinaria]]=1,"APROBADO","NO APROBADO")</f>
        <v>APROBADO</v>
      </c>
      <c r="O265" t="str">
        <f>IF(Tabla1[[#This Row],[Repite compra?]]=1,"REPITE","NO REPITE")</f>
        <v>NO REPITE</v>
      </c>
      <c r="P265" t="str">
        <f>IF(Tabla1[[#This Row],[rating_segun encuesta a Consumidor]]&lt;5,"Regular",IF(Tabla1[[#This Row],[rating_segun encuesta a Consumidor]]&gt;8,"Excelente","Bueno"))</f>
        <v>Bueno</v>
      </c>
    </row>
    <row r="266" spans="1:16" x14ac:dyDescent="0.35">
      <c r="A266" s="1">
        <v>44190</v>
      </c>
      <c r="B266">
        <v>5031</v>
      </c>
      <c r="C266" t="s">
        <v>15</v>
      </c>
      <c r="D266">
        <v>42</v>
      </c>
      <c r="E266">
        <v>87.204000000000008</v>
      </c>
      <c r="F266">
        <v>0</v>
      </c>
      <c r="G266" t="s">
        <v>31</v>
      </c>
      <c r="H266" t="s">
        <v>55</v>
      </c>
      <c r="I266" t="s">
        <v>41</v>
      </c>
      <c r="J266" t="s">
        <v>49</v>
      </c>
      <c r="K266">
        <v>6</v>
      </c>
      <c r="L266">
        <v>1</v>
      </c>
      <c r="M266" s="2">
        <f t="shared" si="4"/>
        <v>3662.5680000000002</v>
      </c>
      <c r="N266" s="2" t="str">
        <f>IF(Tabla1[[#This Row],[Aprobación_Veterinaria]]=1,"APROBADO","NO APROBADO")</f>
        <v>NO APROBADO</v>
      </c>
      <c r="O266" t="str">
        <f>IF(Tabla1[[#This Row],[Repite compra?]]=1,"REPITE","NO REPITE")</f>
        <v>REPITE</v>
      </c>
      <c r="P266" t="str">
        <f>IF(Tabla1[[#This Row],[rating_segun encuesta a Consumidor]]&lt;5,"Regular",IF(Tabla1[[#This Row],[rating_segun encuesta a Consumidor]]&gt;8,"Excelente","Bueno"))</f>
        <v>Bueno</v>
      </c>
    </row>
    <row r="267" spans="1:16" x14ac:dyDescent="0.35">
      <c r="A267" s="1">
        <v>43939</v>
      </c>
      <c r="B267">
        <v>4342</v>
      </c>
      <c r="C267" t="s">
        <v>26</v>
      </c>
      <c r="D267">
        <v>179</v>
      </c>
      <c r="E267">
        <v>137.68800000000002</v>
      </c>
      <c r="F267">
        <v>1</v>
      </c>
      <c r="G267" t="s">
        <v>33</v>
      </c>
      <c r="H267" t="s">
        <v>22</v>
      </c>
      <c r="I267" t="s">
        <v>18</v>
      </c>
      <c r="J267" t="s">
        <v>29</v>
      </c>
      <c r="K267">
        <v>5</v>
      </c>
      <c r="L267">
        <v>1</v>
      </c>
      <c r="M267" s="2">
        <f t="shared" si="4"/>
        <v>24646.152000000002</v>
      </c>
      <c r="N267" s="2" t="str">
        <f>IF(Tabla1[[#This Row],[Aprobación_Veterinaria]]=1,"APROBADO","NO APROBADO")</f>
        <v>APROBADO</v>
      </c>
      <c r="O267" t="str">
        <f>IF(Tabla1[[#This Row],[Repite compra?]]=1,"REPITE","NO REPITE")</f>
        <v>REPITE</v>
      </c>
      <c r="P267" t="str">
        <f>IF(Tabla1[[#This Row],[rating_segun encuesta a Consumidor]]&lt;5,"Regular",IF(Tabla1[[#This Row],[rating_segun encuesta a Consumidor]]&gt;8,"Excelente","Bueno"))</f>
        <v>Bueno</v>
      </c>
    </row>
    <row r="268" spans="1:16" x14ac:dyDescent="0.35">
      <c r="A268" s="1">
        <v>44041</v>
      </c>
      <c r="B268">
        <v>4528</v>
      </c>
      <c r="C268" t="s">
        <v>43</v>
      </c>
      <c r="D268">
        <v>126</v>
      </c>
      <c r="E268">
        <v>75.396000000000001</v>
      </c>
      <c r="F268">
        <v>0</v>
      </c>
      <c r="G268" t="s">
        <v>34</v>
      </c>
      <c r="H268" t="s">
        <v>22</v>
      </c>
      <c r="I268" t="s">
        <v>41</v>
      </c>
      <c r="J268" t="s">
        <v>29</v>
      </c>
      <c r="K268">
        <v>7</v>
      </c>
      <c r="L268">
        <v>0</v>
      </c>
      <c r="M268" s="2">
        <f t="shared" si="4"/>
        <v>9499.8960000000006</v>
      </c>
      <c r="N268" s="2" t="str">
        <f>IF(Tabla1[[#This Row],[Aprobación_Veterinaria]]=1,"APROBADO","NO APROBADO")</f>
        <v>NO APROBADO</v>
      </c>
      <c r="O268" t="str">
        <f>IF(Tabla1[[#This Row],[Repite compra?]]=1,"REPITE","NO REPITE")</f>
        <v>NO REPITE</v>
      </c>
      <c r="P268" t="str">
        <f>IF(Tabla1[[#This Row],[rating_segun encuesta a Consumidor]]&lt;5,"Regular",IF(Tabla1[[#This Row],[rating_segun encuesta a Consumidor]]&gt;8,"Excelente","Bueno"))</f>
        <v>Bueno</v>
      </c>
    </row>
    <row r="269" spans="1:16" x14ac:dyDescent="0.35">
      <c r="A269" s="1">
        <v>43922</v>
      </c>
      <c r="B269">
        <v>4370</v>
      </c>
      <c r="C269" t="s">
        <v>39</v>
      </c>
      <c r="D269">
        <v>147</v>
      </c>
      <c r="E269">
        <v>79.02</v>
      </c>
      <c r="F269">
        <v>1</v>
      </c>
      <c r="G269" t="s">
        <v>36</v>
      </c>
      <c r="H269" t="s">
        <v>22</v>
      </c>
      <c r="I269" t="s">
        <v>35</v>
      </c>
      <c r="J269" t="s">
        <v>29</v>
      </c>
      <c r="K269">
        <v>1</v>
      </c>
      <c r="L269">
        <v>1</v>
      </c>
      <c r="M269" s="2">
        <f t="shared" si="4"/>
        <v>11615.939999999999</v>
      </c>
      <c r="N269" s="2" t="str">
        <f>IF(Tabla1[[#This Row],[Aprobación_Veterinaria]]=1,"APROBADO","NO APROBADO")</f>
        <v>APROBADO</v>
      </c>
      <c r="O269" t="str">
        <f>IF(Tabla1[[#This Row],[Repite compra?]]=1,"REPITE","NO REPITE")</f>
        <v>REPITE</v>
      </c>
      <c r="P269" t="str">
        <f>IF(Tabla1[[#This Row],[rating_segun encuesta a Consumidor]]&lt;5,"Regular",IF(Tabla1[[#This Row],[rating_segun encuesta a Consumidor]]&gt;8,"Excelente","Bueno"))</f>
        <v>Regular</v>
      </c>
    </row>
    <row r="270" spans="1:16" x14ac:dyDescent="0.35">
      <c r="A270" s="1">
        <v>43879</v>
      </c>
      <c r="B270">
        <v>4684</v>
      </c>
      <c r="C270" t="s">
        <v>39</v>
      </c>
      <c r="D270">
        <v>87</v>
      </c>
      <c r="E270">
        <v>68.268000000000001</v>
      </c>
      <c r="F270">
        <v>0</v>
      </c>
      <c r="G270" t="s">
        <v>37</v>
      </c>
      <c r="H270" t="s">
        <v>22</v>
      </c>
      <c r="I270" t="s">
        <v>28</v>
      </c>
      <c r="J270" t="s">
        <v>29</v>
      </c>
      <c r="K270">
        <v>10</v>
      </c>
      <c r="L270">
        <v>0</v>
      </c>
      <c r="M270" s="2">
        <f t="shared" si="4"/>
        <v>5939.3159999999998</v>
      </c>
      <c r="N270" s="2" t="str">
        <f>IF(Tabla1[[#This Row],[Aprobación_Veterinaria]]=1,"APROBADO","NO APROBADO")</f>
        <v>NO APROBADO</v>
      </c>
      <c r="O270" t="str">
        <f>IF(Tabla1[[#This Row],[Repite compra?]]=1,"REPITE","NO REPITE")</f>
        <v>NO REPITE</v>
      </c>
      <c r="P270" t="str">
        <f>IF(Tabla1[[#This Row],[rating_segun encuesta a Consumidor]]&lt;5,"Regular",IF(Tabla1[[#This Row],[rating_segun encuesta a Consumidor]]&gt;8,"Excelente","Bueno"))</f>
        <v>Excelente</v>
      </c>
    </row>
    <row r="271" spans="1:16" x14ac:dyDescent="0.35">
      <c r="A271" s="1">
        <v>44188</v>
      </c>
      <c r="B271">
        <v>4710</v>
      </c>
      <c r="C271" t="s">
        <v>43</v>
      </c>
      <c r="D271">
        <v>41</v>
      </c>
      <c r="E271">
        <v>90.3</v>
      </c>
      <c r="F271">
        <v>1</v>
      </c>
      <c r="G271" t="s">
        <v>40</v>
      </c>
      <c r="H271" t="s">
        <v>44</v>
      </c>
      <c r="I271" t="s">
        <v>18</v>
      </c>
      <c r="J271" t="s">
        <v>29</v>
      </c>
      <c r="K271">
        <v>10</v>
      </c>
      <c r="L271">
        <v>1</v>
      </c>
      <c r="M271" s="2">
        <f t="shared" si="4"/>
        <v>3702.2999999999997</v>
      </c>
      <c r="N271" s="2" t="str">
        <f>IF(Tabla1[[#This Row],[Aprobación_Veterinaria]]=1,"APROBADO","NO APROBADO")</f>
        <v>APROBADO</v>
      </c>
      <c r="O271" t="str">
        <f>IF(Tabla1[[#This Row],[Repite compra?]]=1,"REPITE","NO REPITE")</f>
        <v>REPITE</v>
      </c>
      <c r="P271" t="str">
        <f>IF(Tabla1[[#This Row],[rating_segun encuesta a Consumidor]]&lt;5,"Regular",IF(Tabla1[[#This Row],[rating_segun encuesta a Consumidor]]&gt;8,"Excelente","Bueno"))</f>
        <v>Excelente</v>
      </c>
    </row>
    <row r="272" spans="1:16" x14ac:dyDescent="0.35">
      <c r="A272" s="1">
        <v>44192</v>
      </c>
      <c r="B272">
        <v>4944</v>
      </c>
      <c r="C272" t="s">
        <v>15</v>
      </c>
      <c r="D272">
        <v>3</v>
      </c>
      <c r="E272">
        <v>161.08799999999999</v>
      </c>
      <c r="F272">
        <v>1</v>
      </c>
      <c r="G272" t="s">
        <v>16</v>
      </c>
      <c r="H272" t="s">
        <v>54</v>
      </c>
      <c r="I272" t="s">
        <v>18</v>
      </c>
      <c r="J272" t="s">
        <v>29</v>
      </c>
      <c r="K272">
        <v>6</v>
      </c>
      <c r="L272">
        <v>0</v>
      </c>
      <c r="M272" s="2">
        <f t="shared" si="4"/>
        <v>483.26400000000001</v>
      </c>
      <c r="N272" s="2" t="str">
        <f>IF(Tabla1[[#This Row],[Aprobación_Veterinaria]]=1,"APROBADO","NO APROBADO")</f>
        <v>APROBADO</v>
      </c>
      <c r="O272" t="str">
        <f>IF(Tabla1[[#This Row],[Repite compra?]]=1,"REPITE","NO REPITE")</f>
        <v>NO REPITE</v>
      </c>
      <c r="P272" t="str">
        <f>IF(Tabla1[[#This Row],[rating_segun encuesta a Consumidor]]&lt;5,"Regular",IF(Tabla1[[#This Row],[rating_segun encuesta a Consumidor]]&gt;8,"Excelente","Bueno"))</f>
        <v>Bueno</v>
      </c>
    </row>
    <row r="273" spans="1:16" x14ac:dyDescent="0.35">
      <c r="A273" s="1">
        <v>44180</v>
      </c>
      <c r="B273">
        <v>4433</v>
      </c>
      <c r="C273" t="s">
        <v>32</v>
      </c>
      <c r="D273">
        <v>92</v>
      </c>
      <c r="E273">
        <v>125.592</v>
      </c>
      <c r="F273">
        <v>0</v>
      </c>
      <c r="G273" t="s">
        <v>21</v>
      </c>
      <c r="H273" t="s">
        <v>22</v>
      </c>
      <c r="I273" t="s">
        <v>41</v>
      </c>
      <c r="J273" t="s">
        <v>23</v>
      </c>
      <c r="K273">
        <v>1</v>
      </c>
      <c r="L273">
        <v>0</v>
      </c>
      <c r="M273" s="2">
        <f t="shared" si="4"/>
        <v>11554.464</v>
      </c>
      <c r="N273" s="2" t="str">
        <f>IF(Tabla1[[#This Row],[Aprobación_Veterinaria]]=1,"APROBADO","NO APROBADO")</f>
        <v>NO APROBADO</v>
      </c>
      <c r="O273" t="str">
        <f>IF(Tabla1[[#This Row],[Repite compra?]]=1,"REPITE","NO REPITE")</f>
        <v>NO REPITE</v>
      </c>
      <c r="P273" t="str">
        <f>IF(Tabla1[[#This Row],[rating_segun encuesta a Consumidor]]&lt;5,"Regular",IF(Tabla1[[#This Row],[rating_segun encuesta a Consumidor]]&gt;8,"Excelente","Bueno"))</f>
        <v>Regular</v>
      </c>
    </row>
    <row r="274" spans="1:16" x14ac:dyDescent="0.35">
      <c r="A274" s="1">
        <v>43934</v>
      </c>
      <c r="B274">
        <v>4856</v>
      </c>
      <c r="C274" t="s">
        <v>20</v>
      </c>
      <c r="D274">
        <v>79</v>
      </c>
      <c r="E274">
        <v>132.61199999999999</v>
      </c>
      <c r="F274">
        <v>0</v>
      </c>
      <c r="G274" t="s">
        <v>24</v>
      </c>
      <c r="H274" t="s">
        <v>48</v>
      </c>
      <c r="I274" t="s">
        <v>18</v>
      </c>
      <c r="J274" t="s">
        <v>29</v>
      </c>
      <c r="K274">
        <v>1</v>
      </c>
      <c r="L274">
        <v>1</v>
      </c>
      <c r="M274" s="2">
        <f t="shared" si="4"/>
        <v>10476.348</v>
      </c>
      <c r="N274" s="2" t="str">
        <f>IF(Tabla1[[#This Row],[Aprobación_Veterinaria]]=1,"APROBADO","NO APROBADO")</f>
        <v>NO APROBADO</v>
      </c>
      <c r="O274" t="str">
        <f>IF(Tabla1[[#This Row],[Repite compra?]]=1,"REPITE","NO REPITE")</f>
        <v>REPITE</v>
      </c>
      <c r="P274" t="str">
        <f>IF(Tabla1[[#This Row],[rating_segun encuesta a Consumidor]]&lt;5,"Regular",IF(Tabla1[[#This Row],[rating_segun encuesta a Consumidor]]&gt;8,"Excelente","Bueno"))</f>
        <v>Regular</v>
      </c>
    </row>
    <row r="275" spans="1:16" x14ac:dyDescent="0.35">
      <c r="A275" s="1">
        <v>44033</v>
      </c>
      <c r="B275">
        <v>4300</v>
      </c>
      <c r="C275" t="s">
        <v>46</v>
      </c>
      <c r="D275">
        <v>116</v>
      </c>
      <c r="E275">
        <v>221.50800000000001</v>
      </c>
      <c r="F275">
        <v>1</v>
      </c>
      <c r="G275" t="s">
        <v>27</v>
      </c>
      <c r="H275" t="s">
        <v>22</v>
      </c>
      <c r="I275" t="s">
        <v>35</v>
      </c>
      <c r="J275" t="s">
        <v>53</v>
      </c>
      <c r="K275">
        <v>8</v>
      </c>
      <c r="L275">
        <v>1</v>
      </c>
      <c r="M275" s="2">
        <f t="shared" si="4"/>
        <v>25694.928</v>
      </c>
      <c r="N275" s="2" t="str">
        <f>IF(Tabla1[[#This Row],[Aprobación_Veterinaria]]=1,"APROBADO","NO APROBADO")</f>
        <v>APROBADO</v>
      </c>
      <c r="O275" t="str">
        <f>IF(Tabla1[[#This Row],[Repite compra?]]=1,"REPITE","NO REPITE")</f>
        <v>REPITE</v>
      </c>
      <c r="P275" t="str">
        <f>IF(Tabla1[[#This Row],[rating_segun encuesta a Consumidor]]&lt;5,"Regular",IF(Tabla1[[#This Row],[rating_segun encuesta a Consumidor]]&gt;8,"Excelente","Bueno"))</f>
        <v>Bueno</v>
      </c>
    </row>
    <row r="276" spans="1:16" x14ac:dyDescent="0.35">
      <c r="A276" s="1">
        <v>43832</v>
      </c>
      <c r="B276">
        <v>4899</v>
      </c>
      <c r="C276" t="s">
        <v>15</v>
      </c>
      <c r="D276">
        <v>184</v>
      </c>
      <c r="E276">
        <v>27.108000000000001</v>
      </c>
      <c r="F276">
        <v>1</v>
      </c>
      <c r="G276" t="s">
        <v>31</v>
      </c>
      <c r="H276" t="s">
        <v>54</v>
      </c>
      <c r="I276" t="s">
        <v>41</v>
      </c>
      <c r="J276" t="s">
        <v>23</v>
      </c>
      <c r="K276">
        <v>6</v>
      </c>
      <c r="L276">
        <v>0</v>
      </c>
      <c r="M276" s="2">
        <f t="shared" si="4"/>
        <v>4987.8720000000003</v>
      </c>
      <c r="N276" s="2" t="str">
        <f>IF(Tabla1[[#This Row],[Aprobación_Veterinaria]]=1,"APROBADO","NO APROBADO")</f>
        <v>APROBADO</v>
      </c>
      <c r="O276" t="str">
        <f>IF(Tabla1[[#This Row],[Repite compra?]]=1,"REPITE","NO REPITE")</f>
        <v>NO REPITE</v>
      </c>
      <c r="P276" t="str">
        <f>IF(Tabla1[[#This Row],[rating_segun encuesta a Consumidor]]&lt;5,"Regular",IF(Tabla1[[#This Row],[rating_segun encuesta a Consumidor]]&gt;8,"Excelente","Bueno"))</f>
        <v>Bueno</v>
      </c>
    </row>
    <row r="277" spans="1:16" x14ac:dyDescent="0.35">
      <c r="A277" s="1">
        <v>44140</v>
      </c>
      <c r="B277">
        <v>4934</v>
      </c>
      <c r="C277" t="s">
        <v>20</v>
      </c>
      <c r="D277">
        <v>164</v>
      </c>
      <c r="E277">
        <v>198.648</v>
      </c>
      <c r="F277">
        <v>1</v>
      </c>
      <c r="G277" t="s">
        <v>33</v>
      </c>
      <c r="H277" t="s">
        <v>54</v>
      </c>
      <c r="I277" t="s">
        <v>18</v>
      </c>
      <c r="J277" t="s">
        <v>29</v>
      </c>
      <c r="K277">
        <v>6</v>
      </c>
      <c r="L277">
        <v>0</v>
      </c>
      <c r="M277" s="2">
        <f t="shared" si="4"/>
        <v>32578.272000000001</v>
      </c>
      <c r="N277" s="2" t="str">
        <f>IF(Tabla1[[#This Row],[Aprobación_Veterinaria]]=1,"APROBADO","NO APROBADO")</f>
        <v>APROBADO</v>
      </c>
      <c r="O277" t="str">
        <f>IF(Tabla1[[#This Row],[Repite compra?]]=1,"REPITE","NO REPITE")</f>
        <v>NO REPITE</v>
      </c>
      <c r="P277" t="str">
        <f>IF(Tabla1[[#This Row],[rating_segun encuesta a Consumidor]]&lt;5,"Regular",IF(Tabla1[[#This Row],[rating_segun encuesta a Consumidor]]&gt;8,"Excelente","Bueno"))</f>
        <v>Bueno</v>
      </c>
    </row>
    <row r="278" spans="1:16" x14ac:dyDescent="0.35">
      <c r="A278" s="1">
        <v>44155</v>
      </c>
      <c r="B278">
        <v>4287</v>
      </c>
      <c r="C278" t="s">
        <v>26</v>
      </c>
      <c r="D278">
        <v>130</v>
      </c>
      <c r="E278">
        <v>155.364</v>
      </c>
      <c r="F278">
        <v>1</v>
      </c>
      <c r="G278" t="s">
        <v>34</v>
      </c>
      <c r="H278" t="s">
        <v>22</v>
      </c>
      <c r="I278" t="s">
        <v>18</v>
      </c>
      <c r="J278" t="s">
        <v>23</v>
      </c>
      <c r="K278">
        <v>3</v>
      </c>
      <c r="L278">
        <v>1</v>
      </c>
      <c r="M278" s="2">
        <f t="shared" si="4"/>
        <v>20197.32</v>
      </c>
      <c r="N278" s="2" t="str">
        <f>IF(Tabla1[[#This Row],[Aprobación_Veterinaria]]=1,"APROBADO","NO APROBADO")</f>
        <v>APROBADO</v>
      </c>
      <c r="O278" t="str">
        <f>IF(Tabla1[[#This Row],[Repite compra?]]=1,"REPITE","NO REPITE")</f>
        <v>REPITE</v>
      </c>
      <c r="P278" t="str">
        <f>IF(Tabla1[[#This Row],[rating_segun encuesta a Consumidor]]&lt;5,"Regular",IF(Tabla1[[#This Row],[rating_segun encuesta a Consumidor]]&gt;8,"Excelente","Bueno"))</f>
        <v>Regular</v>
      </c>
    </row>
    <row r="279" spans="1:16" x14ac:dyDescent="0.35">
      <c r="A279" s="1">
        <v>43998</v>
      </c>
      <c r="B279">
        <v>4492</v>
      </c>
      <c r="C279" t="s">
        <v>30</v>
      </c>
      <c r="D279">
        <v>10</v>
      </c>
      <c r="E279">
        <v>151.10400000000001</v>
      </c>
      <c r="F279">
        <v>1</v>
      </c>
      <c r="G279" t="s">
        <v>36</v>
      </c>
      <c r="H279" t="s">
        <v>22</v>
      </c>
      <c r="I279" t="s">
        <v>18</v>
      </c>
      <c r="J279" t="s">
        <v>29</v>
      </c>
      <c r="K279">
        <v>7</v>
      </c>
      <c r="L279">
        <v>1</v>
      </c>
      <c r="M279" s="2">
        <f t="shared" si="4"/>
        <v>1511.0400000000002</v>
      </c>
      <c r="N279" s="2" t="str">
        <f>IF(Tabla1[[#This Row],[Aprobación_Veterinaria]]=1,"APROBADO","NO APROBADO")</f>
        <v>APROBADO</v>
      </c>
      <c r="O279" t="str">
        <f>IF(Tabla1[[#This Row],[Repite compra?]]=1,"REPITE","NO REPITE")</f>
        <v>REPITE</v>
      </c>
      <c r="P279" t="str">
        <f>IF(Tabla1[[#This Row],[rating_segun encuesta a Consumidor]]&lt;5,"Regular",IF(Tabla1[[#This Row],[rating_segun encuesta a Consumidor]]&gt;8,"Excelente","Bueno"))</f>
        <v>Bueno</v>
      </c>
    </row>
    <row r="280" spans="1:16" x14ac:dyDescent="0.35">
      <c r="A280" s="1">
        <v>43979</v>
      </c>
      <c r="B280">
        <v>4919</v>
      </c>
      <c r="C280" t="s">
        <v>20</v>
      </c>
      <c r="D280">
        <v>16</v>
      </c>
      <c r="E280">
        <v>65.784000000000006</v>
      </c>
      <c r="F280">
        <v>1</v>
      </c>
      <c r="G280" t="s">
        <v>37</v>
      </c>
      <c r="H280" t="s">
        <v>54</v>
      </c>
      <c r="I280" t="s">
        <v>41</v>
      </c>
      <c r="J280" t="s">
        <v>23</v>
      </c>
      <c r="K280">
        <v>6</v>
      </c>
      <c r="L280">
        <v>0</v>
      </c>
      <c r="M280" s="2">
        <f t="shared" si="4"/>
        <v>1052.5440000000001</v>
      </c>
      <c r="N280" s="2" t="str">
        <f>IF(Tabla1[[#This Row],[Aprobación_Veterinaria]]=1,"APROBADO","NO APROBADO")</f>
        <v>APROBADO</v>
      </c>
      <c r="O280" t="str">
        <f>IF(Tabla1[[#This Row],[Repite compra?]]=1,"REPITE","NO REPITE")</f>
        <v>NO REPITE</v>
      </c>
      <c r="P280" t="str">
        <f>IF(Tabla1[[#This Row],[rating_segun encuesta a Consumidor]]&lt;5,"Regular",IF(Tabla1[[#This Row],[rating_segun encuesta a Consumidor]]&gt;8,"Excelente","Bueno"))</f>
        <v>Bueno</v>
      </c>
    </row>
    <row r="281" spans="1:16" x14ac:dyDescent="0.35">
      <c r="A281" s="1">
        <v>43932</v>
      </c>
      <c r="B281">
        <v>4962</v>
      </c>
      <c r="C281" t="s">
        <v>15</v>
      </c>
      <c r="D281">
        <v>134</v>
      </c>
      <c r="E281">
        <v>24.432000000000002</v>
      </c>
      <c r="F281">
        <v>1</v>
      </c>
      <c r="G281" t="s">
        <v>40</v>
      </c>
      <c r="H281" t="s">
        <v>38</v>
      </c>
      <c r="I281" t="s">
        <v>18</v>
      </c>
      <c r="J281" t="s">
        <v>19</v>
      </c>
      <c r="K281">
        <v>6</v>
      </c>
      <c r="L281">
        <v>0</v>
      </c>
      <c r="M281" s="2">
        <f t="shared" si="4"/>
        <v>3273.8880000000004</v>
      </c>
      <c r="N281" s="2" t="str">
        <f>IF(Tabla1[[#This Row],[Aprobación_Veterinaria]]=1,"APROBADO","NO APROBADO")</f>
        <v>APROBADO</v>
      </c>
      <c r="O281" t="str">
        <f>IF(Tabla1[[#This Row],[Repite compra?]]=1,"REPITE","NO REPITE")</f>
        <v>NO REPITE</v>
      </c>
      <c r="P281" t="str">
        <f>IF(Tabla1[[#This Row],[rating_segun encuesta a Consumidor]]&lt;5,"Regular",IF(Tabla1[[#This Row],[rating_segun encuesta a Consumidor]]&gt;8,"Excelente","Bueno"))</f>
        <v>Bueno</v>
      </c>
    </row>
    <row r="282" spans="1:16" x14ac:dyDescent="0.35">
      <c r="A282" s="1">
        <v>43873</v>
      </c>
      <c r="B282">
        <v>4768</v>
      </c>
      <c r="C282" t="s">
        <v>26</v>
      </c>
      <c r="D282">
        <v>68</v>
      </c>
      <c r="E282">
        <v>120.432</v>
      </c>
      <c r="F282">
        <v>0</v>
      </c>
      <c r="G282" t="s">
        <v>16</v>
      </c>
      <c r="H282" t="s">
        <v>50</v>
      </c>
      <c r="I282" t="s">
        <v>18</v>
      </c>
      <c r="J282" t="s">
        <v>29</v>
      </c>
      <c r="K282">
        <v>7</v>
      </c>
      <c r="L282">
        <v>1</v>
      </c>
      <c r="M282" s="2">
        <f t="shared" si="4"/>
        <v>8189.3760000000002</v>
      </c>
      <c r="N282" s="2" t="str">
        <f>IF(Tabla1[[#This Row],[Aprobación_Veterinaria]]=1,"APROBADO","NO APROBADO")</f>
        <v>NO APROBADO</v>
      </c>
      <c r="O282" t="str">
        <f>IF(Tabla1[[#This Row],[Repite compra?]]=1,"REPITE","NO REPITE")</f>
        <v>REPITE</v>
      </c>
      <c r="P282" t="str">
        <f>IF(Tabla1[[#This Row],[rating_segun encuesta a Consumidor]]&lt;5,"Regular",IF(Tabla1[[#This Row],[rating_segun encuesta a Consumidor]]&gt;8,"Excelente","Bueno"))</f>
        <v>Bueno</v>
      </c>
    </row>
    <row r="283" spans="1:16" x14ac:dyDescent="0.35">
      <c r="A283" s="1">
        <v>44144</v>
      </c>
      <c r="B283">
        <v>4329</v>
      </c>
      <c r="C283" t="s">
        <v>47</v>
      </c>
      <c r="D283">
        <v>143</v>
      </c>
      <c r="E283">
        <v>44.676000000000002</v>
      </c>
      <c r="F283">
        <v>0</v>
      </c>
      <c r="G283" t="s">
        <v>21</v>
      </c>
      <c r="H283" t="s">
        <v>22</v>
      </c>
      <c r="I283" t="s">
        <v>28</v>
      </c>
      <c r="J283" t="s">
        <v>23</v>
      </c>
      <c r="K283">
        <v>6</v>
      </c>
      <c r="L283">
        <v>1</v>
      </c>
      <c r="M283" s="2">
        <f t="shared" si="4"/>
        <v>6388.6680000000006</v>
      </c>
      <c r="N283" s="2" t="str">
        <f>IF(Tabla1[[#This Row],[Aprobación_Veterinaria]]=1,"APROBADO","NO APROBADO")</f>
        <v>NO APROBADO</v>
      </c>
      <c r="O283" t="str">
        <f>IF(Tabla1[[#This Row],[Repite compra?]]=1,"REPITE","NO REPITE")</f>
        <v>REPITE</v>
      </c>
      <c r="P283" t="str">
        <f>IF(Tabla1[[#This Row],[rating_segun encuesta a Consumidor]]&lt;5,"Regular",IF(Tabla1[[#This Row],[rating_segun encuesta a Consumidor]]&gt;8,"Excelente","Bueno"))</f>
        <v>Bueno</v>
      </c>
    </row>
    <row r="284" spans="1:16" x14ac:dyDescent="0.35">
      <c r="A284" s="1">
        <v>44096</v>
      </c>
      <c r="B284">
        <v>5045</v>
      </c>
      <c r="C284" t="s">
        <v>20</v>
      </c>
      <c r="D284">
        <v>117</v>
      </c>
      <c r="E284">
        <v>193.90800000000002</v>
      </c>
      <c r="F284">
        <v>0</v>
      </c>
      <c r="G284" t="s">
        <v>24</v>
      </c>
      <c r="H284" t="s">
        <v>52</v>
      </c>
      <c r="I284" t="s">
        <v>41</v>
      </c>
      <c r="J284" t="s">
        <v>49</v>
      </c>
      <c r="K284">
        <v>7</v>
      </c>
      <c r="L284">
        <v>1</v>
      </c>
      <c r="M284" s="2">
        <f t="shared" si="4"/>
        <v>22687.236000000001</v>
      </c>
      <c r="N284" s="2" t="str">
        <f>IF(Tabla1[[#This Row],[Aprobación_Veterinaria]]=1,"APROBADO","NO APROBADO")</f>
        <v>NO APROBADO</v>
      </c>
      <c r="O284" t="str">
        <f>IF(Tabla1[[#This Row],[Repite compra?]]=1,"REPITE","NO REPITE")</f>
        <v>REPITE</v>
      </c>
      <c r="P284" t="str">
        <f>IF(Tabla1[[#This Row],[rating_segun encuesta a Consumidor]]&lt;5,"Regular",IF(Tabla1[[#This Row],[rating_segun encuesta a Consumidor]]&gt;8,"Excelente","Bueno"))</f>
        <v>Bueno</v>
      </c>
    </row>
    <row r="285" spans="1:16" x14ac:dyDescent="0.35">
      <c r="A285" s="1">
        <v>43859</v>
      </c>
      <c r="B285">
        <v>5017</v>
      </c>
      <c r="C285" t="s">
        <v>26</v>
      </c>
      <c r="D285">
        <v>146</v>
      </c>
      <c r="E285">
        <v>18.600000000000001</v>
      </c>
      <c r="F285">
        <v>1</v>
      </c>
      <c r="G285" t="s">
        <v>27</v>
      </c>
      <c r="H285" t="s">
        <v>38</v>
      </c>
      <c r="I285" t="s">
        <v>41</v>
      </c>
      <c r="J285" t="s">
        <v>49</v>
      </c>
      <c r="K285">
        <v>6</v>
      </c>
      <c r="L285">
        <v>1</v>
      </c>
      <c r="M285" s="2">
        <f t="shared" si="4"/>
        <v>2715.6000000000004</v>
      </c>
      <c r="N285" s="2" t="str">
        <f>IF(Tabla1[[#This Row],[Aprobación_Veterinaria]]=1,"APROBADO","NO APROBADO")</f>
        <v>APROBADO</v>
      </c>
      <c r="O285" t="str">
        <f>IF(Tabla1[[#This Row],[Repite compra?]]=1,"REPITE","NO REPITE")</f>
        <v>REPITE</v>
      </c>
      <c r="P285" t="str">
        <f>IF(Tabla1[[#This Row],[rating_segun encuesta a Consumidor]]&lt;5,"Regular",IF(Tabla1[[#This Row],[rating_segun encuesta a Consumidor]]&gt;8,"Excelente","Bueno"))</f>
        <v>Bueno</v>
      </c>
    </row>
    <row r="286" spans="1:16" x14ac:dyDescent="0.35">
      <c r="A286" s="1">
        <v>43991</v>
      </c>
      <c r="B286">
        <v>4935</v>
      </c>
      <c r="C286" t="s">
        <v>15</v>
      </c>
      <c r="D286">
        <v>19</v>
      </c>
      <c r="E286">
        <v>60.468000000000004</v>
      </c>
      <c r="F286">
        <v>1</v>
      </c>
      <c r="G286" t="s">
        <v>31</v>
      </c>
      <c r="H286" t="s">
        <v>44</v>
      </c>
      <c r="I286" t="s">
        <v>41</v>
      </c>
      <c r="J286" t="s">
        <v>23</v>
      </c>
      <c r="K286">
        <v>6</v>
      </c>
      <c r="L286">
        <v>0</v>
      </c>
      <c r="M286" s="2">
        <f t="shared" si="4"/>
        <v>1148.8920000000001</v>
      </c>
      <c r="N286" s="2" t="str">
        <f>IF(Tabla1[[#This Row],[Aprobación_Veterinaria]]=1,"APROBADO","NO APROBADO")</f>
        <v>APROBADO</v>
      </c>
      <c r="O286" t="str">
        <f>IF(Tabla1[[#This Row],[Repite compra?]]=1,"REPITE","NO REPITE")</f>
        <v>NO REPITE</v>
      </c>
      <c r="P286" t="str">
        <f>IF(Tabla1[[#This Row],[rating_segun encuesta a Consumidor]]&lt;5,"Regular",IF(Tabla1[[#This Row],[rating_segun encuesta a Consumidor]]&gt;8,"Excelente","Bueno"))</f>
        <v>Bueno</v>
      </c>
    </row>
    <row r="287" spans="1:16" x14ac:dyDescent="0.35">
      <c r="A287" s="1">
        <v>43901</v>
      </c>
      <c r="B287">
        <v>4721</v>
      </c>
      <c r="C287" t="s">
        <v>30</v>
      </c>
      <c r="D287">
        <v>145</v>
      </c>
      <c r="E287">
        <v>19.056000000000001</v>
      </c>
      <c r="F287">
        <v>1</v>
      </c>
      <c r="G287" t="s">
        <v>33</v>
      </c>
      <c r="H287" t="s">
        <v>48</v>
      </c>
      <c r="I287" t="s">
        <v>41</v>
      </c>
      <c r="J287" t="s">
        <v>23</v>
      </c>
      <c r="K287">
        <v>10</v>
      </c>
      <c r="L287">
        <v>0</v>
      </c>
      <c r="M287" s="2">
        <f t="shared" si="4"/>
        <v>2763.1200000000003</v>
      </c>
      <c r="N287" s="2" t="str">
        <f>IF(Tabla1[[#This Row],[Aprobación_Veterinaria]]=1,"APROBADO","NO APROBADO")</f>
        <v>APROBADO</v>
      </c>
      <c r="O287" t="str">
        <f>IF(Tabla1[[#This Row],[Repite compra?]]=1,"REPITE","NO REPITE")</f>
        <v>NO REPITE</v>
      </c>
      <c r="P287" t="str">
        <f>IF(Tabla1[[#This Row],[rating_segun encuesta a Consumidor]]&lt;5,"Regular",IF(Tabla1[[#This Row],[rating_segun encuesta a Consumidor]]&gt;8,"Excelente","Bueno"))</f>
        <v>Excelente</v>
      </c>
    </row>
    <row r="288" spans="1:16" x14ac:dyDescent="0.35">
      <c r="A288" s="1">
        <v>44044</v>
      </c>
      <c r="B288">
        <v>4502</v>
      </c>
      <c r="C288" t="s">
        <v>39</v>
      </c>
      <c r="D288">
        <v>135</v>
      </c>
      <c r="E288">
        <v>98.784000000000006</v>
      </c>
      <c r="F288">
        <v>0</v>
      </c>
      <c r="G288" t="s">
        <v>34</v>
      </c>
      <c r="H288" t="s">
        <v>22</v>
      </c>
      <c r="I288" t="s">
        <v>18</v>
      </c>
      <c r="J288" t="s">
        <v>29</v>
      </c>
      <c r="K288">
        <v>1</v>
      </c>
      <c r="L288">
        <v>1</v>
      </c>
      <c r="M288" s="2">
        <f t="shared" si="4"/>
        <v>13335.84</v>
      </c>
      <c r="N288" s="2" t="str">
        <f>IF(Tabla1[[#This Row],[Aprobación_Veterinaria]]=1,"APROBADO","NO APROBADO")</f>
        <v>NO APROBADO</v>
      </c>
      <c r="O288" t="str">
        <f>IF(Tabla1[[#This Row],[Repite compra?]]=1,"REPITE","NO REPITE")</f>
        <v>REPITE</v>
      </c>
      <c r="P288" t="str">
        <f>IF(Tabla1[[#This Row],[rating_segun encuesta a Consumidor]]&lt;5,"Regular",IF(Tabla1[[#This Row],[rating_segun encuesta a Consumidor]]&gt;8,"Excelente","Bueno"))</f>
        <v>Regular</v>
      </c>
    </row>
    <row r="289" spans="1:16" x14ac:dyDescent="0.35">
      <c r="A289" s="1">
        <v>44151</v>
      </c>
      <c r="B289">
        <v>4493</v>
      </c>
      <c r="C289" t="s">
        <v>51</v>
      </c>
      <c r="D289">
        <v>147</v>
      </c>
      <c r="E289">
        <v>166.44</v>
      </c>
      <c r="F289">
        <v>1</v>
      </c>
      <c r="G289" t="s">
        <v>36</v>
      </c>
      <c r="H289" t="s">
        <v>22</v>
      </c>
      <c r="I289" t="s">
        <v>41</v>
      </c>
      <c r="J289" t="s">
        <v>23</v>
      </c>
      <c r="K289">
        <v>8</v>
      </c>
      <c r="L289">
        <v>0</v>
      </c>
      <c r="M289" s="2">
        <f t="shared" si="4"/>
        <v>24466.68</v>
      </c>
      <c r="N289" s="2" t="str">
        <f>IF(Tabla1[[#This Row],[Aprobación_Veterinaria]]=1,"APROBADO","NO APROBADO")</f>
        <v>APROBADO</v>
      </c>
      <c r="O289" t="str">
        <f>IF(Tabla1[[#This Row],[Repite compra?]]=1,"REPITE","NO REPITE")</f>
        <v>NO REPITE</v>
      </c>
      <c r="P289" t="str">
        <f>IF(Tabla1[[#This Row],[rating_segun encuesta a Consumidor]]&lt;5,"Regular",IF(Tabla1[[#This Row],[rating_segun encuesta a Consumidor]]&gt;8,"Excelente","Bueno"))</f>
        <v>Bueno</v>
      </c>
    </row>
    <row r="290" spans="1:16" x14ac:dyDescent="0.35">
      <c r="A290" s="1">
        <v>44131</v>
      </c>
      <c r="B290">
        <v>4461</v>
      </c>
      <c r="C290" t="s">
        <v>47</v>
      </c>
      <c r="D290">
        <v>47</v>
      </c>
      <c r="E290">
        <v>5.4359999999999999</v>
      </c>
      <c r="F290">
        <v>0</v>
      </c>
      <c r="G290" t="s">
        <v>37</v>
      </c>
      <c r="H290" t="s">
        <v>22</v>
      </c>
      <c r="I290" t="s">
        <v>45</v>
      </c>
      <c r="J290" t="s">
        <v>23</v>
      </c>
      <c r="K290">
        <v>2</v>
      </c>
      <c r="L290">
        <v>0</v>
      </c>
      <c r="M290" s="2">
        <f t="shared" si="4"/>
        <v>255.49199999999999</v>
      </c>
      <c r="N290" s="2" t="str">
        <f>IF(Tabla1[[#This Row],[Aprobación_Veterinaria]]=1,"APROBADO","NO APROBADO")</f>
        <v>NO APROBADO</v>
      </c>
      <c r="O290" t="str">
        <f>IF(Tabla1[[#This Row],[Repite compra?]]=1,"REPITE","NO REPITE")</f>
        <v>NO REPITE</v>
      </c>
      <c r="P290" t="str">
        <f>IF(Tabla1[[#This Row],[rating_segun encuesta a Consumidor]]&lt;5,"Regular",IF(Tabla1[[#This Row],[rating_segun encuesta a Consumidor]]&gt;8,"Excelente","Bueno"))</f>
        <v>Regular</v>
      </c>
    </row>
    <row r="291" spans="1:16" x14ac:dyDescent="0.35">
      <c r="A291" s="1">
        <v>43922</v>
      </c>
      <c r="B291">
        <v>4331</v>
      </c>
      <c r="C291" t="s">
        <v>26</v>
      </c>
      <c r="D291">
        <v>92</v>
      </c>
      <c r="E291">
        <v>148.65600000000001</v>
      </c>
      <c r="F291">
        <v>0</v>
      </c>
      <c r="G291" t="s">
        <v>40</v>
      </c>
      <c r="H291" t="s">
        <v>22</v>
      </c>
      <c r="I291" t="s">
        <v>45</v>
      </c>
      <c r="J291" t="s">
        <v>23</v>
      </c>
      <c r="K291">
        <v>2</v>
      </c>
      <c r="L291">
        <v>0</v>
      </c>
      <c r="M291" s="2">
        <f t="shared" si="4"/>
        <v>13676.352000000001</v>
      </c>
      <c r="N291" s="2" t="str">
        <f>IF(Tabla1[[#This Row],[Aprobación_Veterinaria]]=1,"APROBADO","NO APROBADO")</f>
        <v>NO APROBADO</v>
      </c>
      <c r="O291" t="str">
        <f>IF(Tabla1[[#This Row],[Repite compra?]]=1,"REPITE","NO REPITE")</f>
        <v>NO REPITE</v>
      </c>
      <c r="P291" t="str">
        <f>IF(Tabla1[[#This Row],[rating_segun encuesta a Consumidor]]&lt;5,"Regular",IF(Tabla1[[#This Row],[rating_segun encuesta a Consumidor]]&gt;8,"Excelente","Bueno"))</f>
        <v>Regular</v>
      </c>
    </row>
    <row r="292" spans="1:16" x14ac:dyDescent="0.35">
      <c r="A292" s="1">
        <v>43847</v>
      </c>
      <c r="B292">
        <v>4379</v>
      </c>
      <c r="C292" t="s">
        <v>42</v>
      </c>
      <c r="D292">
        <v>25</v>
      </c>
      <c r="E292">
        <v>216.32400000000001</v>
      </c>
      <c r="F292">
        <v>1</v>
      </c>
      <c r="G292" t="s">
        <v>16</v>
      </c>
      <c r="H292" t="s">
        <v>22</v>
      </c>
      <c r="I292" t="s">
        <v>28</v>
      </c>
      <c r="J292" t="s">
        <v>23</v>
      </c>
      <c r="K292">
        <v>6</v>
      </c>
      <c r="L292">
        <v>0</v>
      </c>
      <c r="M292" s="2">
        <f t="shared" si="4"/>
        <v>5408.1</v>
      </c>
      <c r="N292" s="2" t="str">
        <f>IF(Tabla1[[#This Row],[Aprobación_Veterinaria]]=1,"APROBADO","NO APROBADO")</f>
        <v>APROBADO</v>
      </c>
      <c r="O292" t="str">
        <f>IF(Tabla1[[#This Row],[Repite compra?]]=1,"REPITE","NO REPITE")</f>
        <v>NO REPITE</v>
      </c>
      <c r="P292" t="str">
        <f>IF(Tabla1[[#This Row],[rating_segun encuesta a Consumidor]]&lt;5,"Regular",IF(Tabla1[[#This Row],[rating_segun encuesta a Consumidor]]&gt;8,"Excelente","Bueno"))</f>
        <v>Bueno</v>
      </c>
    </row>
    <row r="293" spans="1:16" x14ac:dyDescent="0.35">
      <c r="A293" s="1">
        <v>44140</v>
      </c>
      <c r="B293">
        <v>4558</v>
      </c>
      <c r="C293" t="s">
        <v>30</v>
      </c>
      <c r="D293">
        <v>57</v>
      </c>
      <c r="E293">
        <v>72.84</v>
      </c>
      <c r="F293">
        <v>0</v>
      </c>
      <c r="G293" t="s">
        <v>21</v>
      </c>
      <c r="H293" t="s">
        <v>22</v>
      </c>
      <c r="I293" t="s">
        <v>41</v>
      </c>
      <c r="J293" t="s">
        <v>29</v>
      </c>
      <c r="K293">
        <v>10</v>
      </c>
      <c r="L293">
        <v>0</v>
      </c>
      <c r="M293" s="2">
        <f t="shared" si="4"/>
        <v>4151.88</v>
      </c>
      <c r="N293" s="2" t="str">
        <f>IF(Tabla1[[#This Row],[Aprobación_Veterinaria]]=1,"APROBADO","NO APROBADO")</f>
        <v>NO APROBADO</v>
      </c>
      <c r="O293" t="str">
        <f>IF(Tabla1[[#This Row],[Repite compra?]]=1,"REPITE","NO REPITE")</f>
        <v>NO REPITE</v>
      </c>
      <c r="P293" t="str">
        <f>IF(Tabla1[[#This Row],[rating_segun encuesta a Consumidor]]&lt;5,"Regular",IF(Tabla1[[#This Row],[rating_segun encuesta a Consumidor]]&gt;8,"Excelente","Bueno"))</f>
        <v>Excelente</v>
      </c>
    </row>
    <row r="294" spans="1:16" x14ac:dyDescent="0.35">
      <c r="A294" s="1">
        <v>44040</v>
      </c>
      <c r="B294">
        <v>4582</v>
      </c>
      <c r="C294" t="s">
        <v>47</v>
      </c>
      <c r="D294">
        <v>101</v>
      </c>
      <c r="E294">
        <v>99.384</v>
      </c>
      <c r="F294">
        <v>0</v>
      </c>
      <c r="G294" t="s">
        <v>24</v>
      </c>
      <c r="H294" t="s">
        <v>22</v>
      </c>
      <c r="I294" t="s">
        <v>18</v>
      </c>
      <c r="J294" t="s">
        <v>29</v>
      </c>
      <c r="K294">
        <v>10</v>
      </c>
      <c r="L294">
        <v>0</v>
      </c>
      <c r="M294" s="2">
        <f t="shared" si="4"/>
        <v>10037.784</v>
      </c>
      <c r="N294" s="2" t="str">
        <f>IF(Tabla1[[#This Row],[Aprobación_Veterinaria]]=1,"APROBADO","NO APROBADO")</f>
        <v>NO APROBADO</v>
      </c>
      <c r="O294" t="str">
        <f>IF(Tabla1[[#This Row],[Repite compra?]]=1,"REPITE","NO REPITE")</f>
        <v>NO REPITE</v>
      </c>
      <c r="P294" t="str">
        <f>IF(Tabla1[[#This Row],[rating_segun encuesta a Consumidor]]&lt;5,"Regular",IF(Tabla1[[#This Row],[rating_segun encuesta a Consumidor]]&gt;8,"Excelente","Bueno"))</f>
        <v>Excelente</v>
      </c>
    </row>
    <row r="295" spans="1:16" x14ac:dyDescent="0.35">
      <c r="A295" s="1">
        <v>44142</v>
      </c>
      <c r="B295">
        <v>4711</v>
      </c>
      <c r="C295" t="s">
        <v>39</v>
      </c>
      <c r="D295">
        <v>195</v>
      </c>
      <c r="E295">
        <v>11.58</v>
      </c>
      <c r="F295">
        <v>1</v>
      </c>
      <c r="G295" t="s">
        <v>27</v>
      </c>
      <c r="H295" t="s">
        <v>48</v>
      </c>
      <c r="I295" t="s">
        <v>41</v>
      </c>
      <c r="J295" t="s">
        <v>23</v>
      </c>
      <c r="K295">
        <v>10</v>
      </c>
      <c r="L295">
        <v>0</v>
      </c>
      <c r="M295" s="2">
        <f t="shared" si="4"/>
        <v>2258.1</v>
      </c>
      <c r="N295" s="2" t="str">
        <f>IF(Tabla1[[#This Row],[Aprobación_Veterinaria]]=1,"APROBADO","NO APROBADO")</f>
        <v>APROBADO</v>
      </c>
      <c r="O295" t="str">
        <f>IF(Tabla1[[#This Row],[Repite compra?]]=1,"REPITE","NO REPITE")</f>
        <v>NO REPITE</v>
      </c>
      <c r="P295" t="str">
        <f>IF(Tabla1[[#This Row],[rating_segun encuesta a Consumidor]]&lt;5,"Regular",IF(Tabla1[[#This Row],[rating_segun encuesta a Consumidor]]&gt;8,"Excelente","Bueno"))</f>
        <v>Excelente</v>
      </c>
    </row>
    <row r="296" spans="1:16" x14ac:dyDescent="0.35">
      <c r="A296" s="1">
        <v>43858</v>
      </c>
      <c r="B296">
        <v>4518</v>
      </c>
      <c r="C296" t="s">
        <v>26</v>
      </c>
      <c r="D296">
        <v>61</v>
      </c>
      <c r="E296">
        <v>14.928000000000001</v>
      </c>
      <c r="F296">
        <v>0</v>
      </c>
      <c r="G296" t="s">
        <v>31</v>
      </c>
      <c r="H296" t="s">
        <v>22</v>
      </c>
      <c r="I296" t="s">
        <v>41</v>
      </c>
      <c r="J296" t="s">
        <v>29</v>
      </c>
      <c r="K296">
        <v>9</v>
      </c>
      <c r="L296">
        <v>1</v>
      </c>
      <c r="M296" s="2">
        <f t="shared" si="4"/>
        <v>910.60800000000006</v>
      </c>
      <c r="N296" s="2" t="str">
        <f>IF(Tabla1[[#This Row],[Aprobación_Veterinaria]]=1,"APROBADO","NO APROBADO")</f>
        <v>NO APROBADO</v>
      </c>
      <c r="O296" t="str">
        <f>IF(Tabla1[[#This Row],[Repite compra?]]=1,"REPITE","NO REPITE")</f>
        <v>REPITE</v>
      </c>
      <c r="P296" t="str">
        <f>IF(Tabla1[[#This Row],[rating_segun encuesta a Consumidor]]&lt;5,"Regular",IF(Tabla1[[#This Row],[rating_segun encuesta a Consumidor]]&gt;8,"Excelente","Bueno"))</f>
        <v>Excelente</v>
      </c>
    </row>
    <row r="297" spans="1:16" x14ac:dyDescent="0.35">
      <c r="A297" s="1">
        <v>44159</v>
      </c>
      <c r="B297">
        <v>4743</v>
      </c>
      <c r="C297" t="s">
        <v>43</v>
      </c>
      <c r="D297">
        <v>63</v>
      </c>
      <c r="E297">
        <v>3.66</v>
      </c>
      <c r="F297">
        <v>1</v>
      </c>
      <c r="G297" t="s">
        <v>33</v>
      </c>
      <c r="H297" t="s">
        <v>50</v>
      </c>
      <c r="I297" t="s">
        <v>41</v>
      </c>
      <c r="J297" t="s">
        <v>23</v>
      </c>
      <c r="K297">
        <v>7</v>
      </c>
      <c r="L297">
        <v>0</v>
      </c>
      <c r="M297" s="2">
        <f t="shared" si="4"/>
        <v>230.58</v>
      </c>
      <c r="N297" s="2" t="str">
        <f>IF(Tabla1[[#This Row],[Aprobación_Veterinaria]]=1,"APROBADO","NO APROBADO")</f>
        <v>APROBADO</v>
      </c>
      <c r="O297" t="str">
        <f>IF(Tabla1[[#This Row],[Repite compra?]]=1,"REPITE","NO REPITE")</f>
        <v>NO REPITE</v>
      </c>
      <c r="P297" t="str">
        <f>IF(Tabla1[[#This Row],[rating_segun encuesta a Consumidor]]&lt;5,"Regular",IF(Tabla1[[#This Row],[rating_segun encuesta a Consumidor]]&gt;8,"Excelente","Bueno"))</f>
        <v>Bueno</v>
      </c>
    </row>
    <row r="298" spans="1:16" x14ac:dyDescent="0.35">
      <c r="A298" s="1">
        <v>44011</v>
      </c>
      <c r="B298">
        <v>4677</v>
      </c>
      <c r="C298" t="s">
        <v>20</v>
      </c>
      <c r="D298">
        <v>83</v>
      </c>
      <c r="E298">
        <v>157.74</v>
      </c>
      <c r="F298">
        <v>1</v>
      </c>
      <c r="G298" t="s">
        <v>34</v>
      </c>
      <c r="H298" t="s">
        <v>22</v>
      </c>
      <c r="I298" t="s">
        <v>18</v>
      </c>
      <c r="J298" t="s">
        <v>23</v>
      </c>
      <c r="K298">
        <v>10</v>
      </c>
      <c r="L298">
        <v>1</v>
      </c>
      <c r="M298" s="2">
        <f t="shared" si="4"/>
        <v>13092.42</v>
      </c>
      <c r="N298" s="2" t="str">
        <f>IF(Tabla1[[#This Row],[Aprobación_Veterinaria]]=1,"APROBADO","NO APROBADO")</f>
        <v>APROBADO</v>
      </c>
      <c r="O298" t="str">
        <f>IF(Tabla1[[#This Row],[Repite compra?]]=1,"REPITE","NO REPITE")</f>
        <v>REPITE</v>
      </c>
      <c r="P298" t="str">
        <f>IF(Tabla1[[#This Row],[rating_segun encuesta a Consumidor]]&lt;5,"Regular",IF(Tabla1[[#This Row],[rating_segun encuesta a Consumidor]]&gt;8,"Excelente","Bueno"))</f>
        <v>Excelente</v>
      </c>
    </row>
    <row r="299" spans="1:16" x14ac:dyDescent="0.35">
      <c r="A299" s="1">
        <v>44037</v>
      </c>
      <c r="B299">
        <v>4276</v>
      </c>
      <c r="C299" t="s">
        <v>26</v>
      </c>
      <c r="D299">
        <v>80</v>
      </c>
      <c r="E299">
        <v>157.62</v>
      </c>
      <c r="F299">
        <v>0</v>
      </c>
      <c r="G299" t="s">
        <v>36</v>
      </c>
      <c r="H299" t="s">
        <v>22</v>
      </c>
      <c r="I299" t="s">
        <v>45</v>
      </c>
      <c r="J299" t="s">
        <v>53</v>
      </c>
      <c r="K299">
        <v>9</v>
      </c>
      <c r="L299">
        <v>1</v>
      </c>
      <c r="M299" s="2">
        <f t="shared" si="4"/>
        <v>12609.6</v>
      </c>
      <c r="N299" s="2" t="str">
        <f>IF(Tabla1[[#This Row],[Aprobación_Veterinaria]]=1,"APROBADO","NO APROBADO")</f>
        <v>NO APROBADO</v>
      </c>
      <c r="O299" t="str">
        <f>IF(Tabla1[[#This Row],[Repite compra?]]=1,"REPITE","NO REPITE")</f>
        <v>REPITE</v>
      </c>
      <c r="P299" t="str">
        <f>IF(Tabla1[[#This Row],[rating_segun encuesta a Consumidor]]&lt;5,"Regular",IF(Tabla1[[#This Row],[rating_segun encuesta a Consumidor]]&gt;8,"Excelente","Bueno"))</f>
        <v>Excelente</v>
      </c>
    </row>
    <row r="300" spans="1:16" x14ac:dyDescent="0.35">
      <c r="A300" s="1">
        <v>44025</v>
      </c>
      <c r="B300">
        <v>4745</v>
      </c>
      <c r="C300" t="s">
        <v>30</v>
      </c>
      <c r="D300">
        <v>197</v>
      </c>
      <c r="E300">
        <v>38.316000000000003</v>
      </c>
      <c r="F300">
        <v>0</v>
      </c>
      <c r="G300" t="s">
        <v>37</v>
      </c>
      <c r="H300" t="s">
        <v>44</v>
      </c>
      <c r="I300" t="s">
        <v>41</v>
      </c>
      <c r="J300" t="s">
        <v>23</v>
      </c>
      <c r="K300">
        <v>7</v>
      </c>
      <c r="L300">
        <v>0</v>
      </c>
      <c r="M300" s="2">
        <f t="shared" si="4"/>
        <v>7548.2520000000004</v>
      </c>
      <c r="N300" s="2" t="str">
        <f>IF(Tabla1[[#This Row],[Aprobación_Veterinaria]]=1,"APROBADO","NO APROBADO")</f>
        <v>NO APROBADO</v>
      </c>
      <c r="O300" t="str">
        <f>IF(Tabla1[[#This Row],[Repite compra?]]=1,"REPITE","NO REPITE")</f>
        <v>NO REPITE</v>
      </c>
      <c r="P300" t="str">
        <f>IF(Tabla1[[#This Row],[rating_segun encuesta a Consumidor]]&lt;5,"Regular",IF(Tabla1[[#This Row],[rating_segun encuesta a Consumidor]]&gt;8,"Excelente","Bueno"))</f>
        <v>Bueno</v>
      </c>
    </row>
    <row r="301" spans="1:16" x14ac:dyDescent="0.35">
      <c r="A301" s="1">
        <v>44066</v>
      </c>
      <c r="B301">
        <v>4278</v>
      </c>
      <c r="C301" t="s">
        <v>46</v>
      </c>
      <c r="D301">
        <v>164</v>
      </c>
      <c r="E301">
        <v>167.172</v>
      </c>
      <c r="F301">
        <v>0</v>
      </c>
      <c r="G301" t="s">
        <v>40</v>
      </c>
      <c r="H301" t="s">
        <v>22</v>
      </c>
      <c r="I301" t="s">
        <v>41</v>
      </c>
      <c r="J301" t="s">
        <v>49</v>
      </c>
      <c r="K301">
        <v>6</v>
      </c>
      <c r="L301">
        <v>0</v>
      </c>
      <c r="M301" s="2">
        <f t="shared" si="4"/>
        <v>27416.207999999999</v>
      </c>
      <c r="N301" s="2" t="str">
        <f>IF(Tabla1[[#This Row],[Aprobación_Veterinaria]]=1,"APROBADO","NO APROBADO")</f>
        <v>NO APROBADO</v>
      </c>
      <c r="O301" t="str">
        <f>IF(Tabla1[[#This Row],[Repite compra?]]=1,"REPITE","NO REPITE")</f>
        <v>NO REPITE</v>
      </c>
      <c r="P301" t="str">
        <f>IF(Tabla1[[#This Row],[rating_segun encuesta a Consumidor]]&lt;5,"Regular",IF(Tabla1[[#This Row],[rating_segun encuesta a Consumidor]]&gt;8,"Excelente","Bueno"))</f>
        <v>Bueno</v>
      </c>
    </row>
    <row r="302" spans="1:16" x14ac:dyDescent="0.35">
      <c r="A302" s="1">
        <v>43901</v>
      </c>
      <c r="B302">
        <v>4762</v>
      </c>
      <c r="C302" t="s">
        <v>39</v>
      </c>
      <c r="D302">
        <v>162</v>
      </c>
      <c r="E302">
        <v>199.44</v>
      </c>
      <c r="F302">
        <v>1</v>
      </c>
      <c r="G302" t="s">
        <v>16</v>
      </c>
      <c r="H302" t="s">
        <v>38</v>
      </c>
      <c r="I302" t="s">
        <v>18</v>
      </c>
      <c r="J302" t="s">
        <v>29</v>
      </c>
      <c r="K302">
        <v>7</v>
      </c>
      <c r="L302">
        <v>1</v>
      </c>
      <c r="M302" s="2">
        <f t="shared" si="4"/>
        <v>32309.279999999999</v>
      </c>
      <c r="N302" s="2" t="str">
        <f>IF(Tabla1[[#This Row],[Aprobación_Veterinaria]]=1,"APROBADO","NO APROBADO")</f>
        <v>APROBADO</v>
      </c>
      <c r="O302" t="str">
        <f>IF(Tabla1[[#This Row],[Repite compra?]]=1,"REPITE","NO REPITE")</f>
        <v>REPITE</v>
      </c>
      <c r="P302" t="str">
        <f>IF(Tabla1[[#This Row],[rating_segun encuesta a Consumidor]]&lt;5,"Regular",IF(Tabla1[[#This Row],[rating_segun encuesta a Consumidor]]&gt;8,"Excelente","Bueno"))</f>
        <v>Bueno</v>
      </c>
    </row>
    <row r="303" spans="1:16" x14ac:dyDescent="0.35">
      <c r="A303" s="1">
        <v>43961</v>
      </c>
      <c r="B303">
        <v>4654</v>
      </c>
      <c r="C303" t="s">
        <v>42</v>
      </c>
      <c r="D303">
        <v>211</v>
      </c>
      <c r="E303">
        <v>148.96799999999999</v>
      </c>
      <c r="F303">
        <v>1</v>
      </c>
      <c r="G303" t="s">
        <v>21</v>
      </c>
      <c r="H303" t="s">
        <v>22</v>
      </c>
      <c r="I303" t="s">
        <v>28</v>
      </c>
      <c r="J303" t="s">
        <v>29</v>
      </c>
      <c r="K303">
        <v>10</v>
      </c>
      <c r="L303">
        <v>1</v>
      </c>
      <c r="M303" s="2">
        <f t="shared" si="4"/>
        <v>31432.247999999996</v>
      </c>
      <c r="N303" s="2" t="str">
        <f>IF(Tabla1[[#This Row],[Aprobación_Veterinaria]]=1,"APROBADO","NO APROBADO")</f>
        <v>APROBADO</v>
      </c>
      <c r="O303" t="str">
        <f>IF(Tabla1[[#This Row],[Repite compra?]]=1,"REPITE","NO REPITE")</f>
        <v>REPITE</v>
      </c>
      <c r="P303" t="str">
        <f>IF(Tabla1[[#This Row],[rating_segun encuesta a Consumidor]]&lt;5,"Regular",IF(Tabla1[[#This Row],[rating_segun encuesta a Consumidor]]&gt;8,"Excelente","Bueno"))</f>
        <v>Excelente</v>
      </c>
    </row>
    <row r="304" spans="1:16" x14ac:dyDescent="0.35">
      <c r="A304" s="1">
        <v>43999</v>
      </c>
      <c r="B304">
        <v>4617</v>
      </c>
      <c r="C304" t="s">
        <v>26</v>
      </c>
      <c r="D304">
        <v>204</v>
      </c>
      <c r="E304">
        <v>148.06800000000001</v>
      </c>
      <c r="F304">
        <v>1</v>
      </c>
      <c r="G304" t="s">
        <v>24</v>
      </c>
      <c r="H304" t="s">
        <v>22</v>
      </c>
      <c r="I304" t="s">
        <v>18</v>
      </c>
      <c r="J304" t="s">
        <v>23</v>
      </c>
      <c r="K304">
        <v>10</v>
      </c>
      <c r="L304">
        <v>0</v>
      </c>
      <c r="M304" s="2">
        <f t="shared" si="4"/>
        <v>30205.872000000003</v>
      </c>
      <c r="N304" s="2" t="str">
        <f>IF(Tabla1[[#This Row],[Aprobación_Veterinaria]]=1,"APROBADO","NO APROBADO")</f>
        <v>APROBADO</v>
      </c>
      <c r="O304" t="str">
        <f>IF(Tabla1[[#This Row],[Repite compra?]]=1,"REPITE","NO REPITE")</f>
        <v>NO REPITE</v>
      </c>
      <c r="P304" t="str">
        <f>IF(Tabla1[[#This Row],[rating_segun encuesta a Consumidor]]&lt;5,"Regular",IF(Tabla1[[#This Row],[rating_segun encuesta a Consumidor]]&gt;8,"Excelente","Bueno"))</f>
        <v>Excelente</v>
      </c>
    </row>
    <row r="305" spans="1:16" x14ac:dyDescent="0.35">
      <c r="A305" s="1">
        <v>43899</v>
      </c>
      <c r="B305">
        <v>4694</v>
      </c>
      <c r="C305" t="s">
        <v>30</v>
      </c>
      <c r="D305">
        <v>13</v>
      </c>
      <c r="E305">
        <v>64.296000000000006</v>
      </c>
      <c r="F305">
        <v>0</v>
      </c>
      <c r="G305" t="s">
        <v>27</v>
      </c>
      <c r="H305" t="s">
        <v>54</v>
      </c>
      <c r="I305" t="s">
        <v>28</v>
      </c>
      <c r="J305" t="s">
        <v>29</v>
      </c>
      <c r="K305">
        <v>10</v>
      </c>
      <c r="L305">
        <v>1</v>
      </c>
      <c r="M305" s="2">
        <f t="shared" si="4"/>
        <v>835.84800000000007</v>
      </c>
      <c r="N305" s="2" t="str">
        <f>IF(Tabla1[[#This Row],[Aprobación_Veterinaria]]=1,"APROBADO","NO APROBADO")</f>
        <v>NO APROBADO</v>
      </c>
      <c r="O305" t="str">
        <f>IF(Tabla1[[#This Row],[Repite compra?]]=1,"REPITE","NO REPITE")</f>
        <v>REPITE</v>
      </c>
      <c r="P305" t="str">
        <f>IF(Tabla1[[#This Row],[rating_segun encuesta a Consumidor]]&lt;5,"Regular",IF(Tabla1[[#This Row],[rating_segun encuesta a Consumidor]]&gt;8,"Excelente","Bueno"))</f>
        <v>Excelente</v>
      </c>
    </row>
    <row r="306" spans="1:16" x14ac:dyDescent="0.35">
      <c r="A306" s="1">
        <v>44057</v>
      </c>
      <c r="B306">
        <v>4626</v>
      </c>
      <c r="C306" t="s">
        <v>47</v>
      </c>
      <c r="D306">
        <v>177</v>
      </c>
      <c r="E306">
        <v>212.65200000000002</v>
      </c>
      <c r="F306">
        <v>1</v>
      </c>
      <c r="G306" t="s">
        <v>31</v>
      </c>
      <c r="H306" t="s">
        <v>22</v>
      </c>
      <c r="I306" t="s">
        <v>45</v>
      </c>
      <c r="J306" t="s">
        <v>29</v>
      </c>
      <c r="K306">
        <v>10</v>
      </c>
      <c r="L306">
        <v>1</v>
      </c>
      <c r="M306" s="2">
        <f t="shared" si="4"/>
        <v>37639.404000000002</v>
      </c>
      <c r="N306" s="2" t="str">
        <f>IF(Tabla1[[#This Row],[Aprobación_Veterinaria]]=1,"APROBADO","NO APROBADO")</f>
        <v>APROBADO</v>
      </c>
      <c r="O306" t="str">
        <f>IF(Tabla1[[#This Row],[Repite compra?]]=1,"REPITE","NO REPITE")</f>
        <v>REPITE</v>
      </c>
      <c r="P306" t="str">
        <f>IF(Tabla1[[#This Row],[rating_segun encuesta a Consumidor]]&lt;5,"Regular",IF(Tabla1[[#This Row],[rating_segun encuesta a Consumidor]]&gt;8,"Excelente","Bueno"))</f>
        <v>Excelente</v>
      </c>
    </row>
    <row r="307" spans="1:16" x14ac:dyDescent="0.35">
      <c r="A307" s="1">
        <v>44014</v>
      </c>
      <c r="B307">
        <v>4636</v>
      </c>
      <c r="C307" t="s">
        <v>51</v>
      </c>
      <c r="D307">
        <v>116</v>
      </c>
      <c r="E307">
        <v>210.732</v>
      </c>
      <c r="F307">
        <v>0</v>
      </c>
      <c r="G307" t="s">
        <v>33</v>
      </c>
      <c r="H307" t="s">
        <v>22</v>
      </c>
      <c r="I307" t="s">
        <v>45</v>
      </c>
      <c r="J307" t="s">
        <v>29</v>
      </c>
      <c r="K307">
        <v>10</v>
      </c>
      <c r="L307">
        <v>1</v>
      </c>
      <c r="M307" s="2">
        <f t="shared" si="4"/>
        <v>24444.912</v>
      </c>
      <c r="N307" s="2" t="str">
        <f>IF(Tabla1[[#This Row],[Aprobación_Veterinaria]]=1,"APROBADO","NO APROBADO")</f>
        <v>NO APROBADO</v>
      </c>
      <c r="O307" t="str">
        <f>IF(Tabla1[[#This Row],[Repite compra?]]=1,"REPITE","NO REPITE")</f>
        <v>REPITE</v>
      </c>
      <c r="P307" t="str">
        <f>IF(Tabla1[[#This Row],[rating_segun encuesta a Consumidor]]&lt;5,"Regular",IF(Tabla1[[#This Row],[rating_segun encuesta a Consumidor]]&gt;8,"Excelente","Bueno"))</f>
        <v>Excelente</v>
      </c>
    </row>
    <row r="308" spans="1:16" x14ac:dyDescent="0.35">
      <c r="A308" s="1">
        <v>44187</v>
      </c>
      <c r="B308">
        <v>4508</v>
      </c>
      <c r="C308" t="s">
        <v>15</v>
      </c>
      <c r="D308">
        <v>70</v>
      </c>
      <c r="E308">
        <v>149.64000000000001</v>
      </c>
      <c r="F308">
        <v>1</v>
      </c>
      <c r="G308" t="s">
        <v>34</v>
      </c>
      <c r="H308" t="s">
        <v>22</v>
      </c>
      <c r="I308" t="s">
        <v>41</v>
      </c>
      <c r="J308" t="s">
        <v>29</v>
      </c>
      <c r="K308">
        <v>8</v>
      </c>
      <c r="L308">
        <v>0</v>
      </c>
      <c r="M308" s="2">
        <f t="shared" si="4"/>
        <v>10474.800000000001</v>
      </c>
      <c r="N308" s="2" t="str">
        <f>IF(Tabla1[[#This Row],[Aprobación_Veterinaria]]=1,"APROBADO","NO APROBADO")</f>
        <v>APROBADO</v>
      </c>
      <c r="O308" t="str">
        <f>IF(Tabla1[[#This Row],[Repite compra?]]=1,"REPITE","NO REPITE")</f>
        <v>NO REPITE</v>
      </c>
      <c r="P308" t="str">
        <f>IF(Tabla1[[#This Row],[rating_segun encuesta a Consumidor]]&lt;5,"Regular",IF(Tabla1[[#This Row],[rating_segun encuesta a Consumidor]]&gt;8,"Excelente","Bueno"))</f>
        <v>Bueno</v>
      </c>
    </row>
    <row r="309" spans="1:16" x14ac:dyDescent="0.35">
      <c r="A309" s="1">
        <v>44138</v>
      </c>
      <c r="B309">
        <v>4769</v>
      </c>
      <c r="C309" t="s">
        <v>20</v>
      </c>
      <c r="D309">
        <v>18</v>
      </c>
      <c r="E309">
        <v>151.16400000000002</v>
      </c>
      <c r="F309">
        <v>1</v>
      </c>
      <c r="G309" t="s">
        <v>36</v>
      </c>
      <c r="H309" t="s">
        <v>54</v>
      </c>
      <c r="I309" t="s">
        <v>41</v>
      </c>
      <c r="J309" t="s">
        <v>23</v>
      </c>
      <c r="K309">
        <v>7</v>
      </c>
      <c r="L309">
        <v>1</v>
      </c>
      <c r="M309" s="2">
        <f t="shared" si="4"/>
        <v>2720.9520000000002</v>
      </c>
      <c r="N309" s="2" t="str">
        <f>IF(Tabla1[[#This Row],[Aprobación_Veterinaria]]=1,"APROBADO","NO APROBADO")</f>
        <v>APROBADO</v>
      </c>
      <c r="O309" t="str">
        <f>IF(Tabla1[[#This Row],[Repite compra?]]=1,"REPITE","NO REPITE")</f>
        <v>REPITE</v>
      </c>
      <c r="P309" t="str">
        <f>IF(Tabla1[[#This Row],[rating_segun encuesta a Consumidor]]&lt;5,"Regular",IF(Tabla1[[#This Row],[rating_segun encuesta a Consumidor]]&gt;8,"Excelente","Bueno"))</f>
        <v>Bueno</v>
      </c>
    </row>
    <row r="310" spans="1:16" x14ac:dyDescent="0.35">
      <c r="A310" s="1">
        <v>44155</v>
      </c>
      <c r="B310">
        <v>4619</v>
      </c>
      <c r="C310" t="s">
        <v>46</v>
      </c>
      <c r="D310">
        <v>195</v>
      </c>
      <c r="E310">
        <v>124.248</v>
      </c>
      <c r="F310">
        <v>0</v>
      </c>
      <c r="G310" t="s">
        <v>37</v>
      </c>
      <c r="H310" t="s">
        <v>22</v>
      </c>
      <c r="I310" t="s">
        <v>28</v>
      </c>
      <c r="J310" t="s">
        <v>23</v>
      </c>
      <c r="K310">
        <v>10</v>
      </c>
      <c r="L310">
        <v>0</v>
      </c>
      <c r="M310" s="2">
        <f t="shared" si="4"/>
        <v>24228.36</v>
      </c>
      <c r="N310" s="2" t="str">
        <f>IF(Tabla1[[#This Row],[Aprobación_Veterinaria]]=1,"APROBADO","NO APROBADO")</f>
        <v>NO APROBADO</v>
      </c>
      <c r="O310" t="str">
        <f>IF(Tabla1[[#This Row],[Repite compra?]]=1,"REPITE","NO REPITE")</f>
        <v>NO REPITE</v>
      </c>
      <c r="P310" t="str">
        <f>IF(Tabla1[[#This Row],[rating_segun encuesta a Consumidor]]&lt;5,"Regular",IF(Tabla1[[#This Row],[rating_segun encuesta a Consumidor]]&gt;8,"Excelente","Bueno"))</f>
        <v>Excelente</v>
      </c>
    </row>
    <row r="311" spans="1:16" x14ac:dyDescent="0.35">
      <c r="A311" s="1">
        <v>44090</v>
      </c>
      <c r="B311">
        <v>4444</v>
      </c>
      <c r="C311" t="s">
        <v>32</v>
      </c>
      <c r="D311">
        <v>102</v>
      </c>
      <c r="E311">
        <v>148.452</v>
      </c>
      <c r="F311">
        <v>0</v>
      </c>
      <c r="G311" t="s">
        <v>40</v>
      </c>
      <c r="H311" t="s">
        <v>22</v>
      </c>
      <c r="I311" t="s">
        <v>28</v>
      </c>
      <c r="J311" t="s">
        <v>29</v>
      </c>
      <c r="K311">
        <v>6</v>
      </c>
      <c r="L311">
        <v>1</v>
      </c>
      <c r="M311" s="2">
        <f t="shared" si="4"/>
        <v>15142.103999999999</v>
      </c>
      <c r="N311" s="2" t="str">
        <f>IF(Tabla1[[#This Row],[Aprobación_Veterinaria]]=1,"APROBADO","NO APROBADO")</f>
        <v>NO APROBADO</v>
      </c>
      <c r="O311" t="str">
        <f>IF(Tabla1[[#This Row],[Repite compra?]]=1,"REPITE","NO REPITE")</f>
        <v>REPITE</v>
      </c>
      <c r="P311" t="str">
        <f>IF(Tabla1[[#This Row],[rating_segun encuesta a Consumidor]]&lt;5,"Regular",IF(Tabla1[[#This Row],[rating_segun encuesta a Consumidor]]&gt;8,"Excelente","Bueno"))</f>
        <v>Bueno</v>
      </c>
    </row>
    <row r="312" spans="1:16" x14ac:dyDescent="0.35">
      <c r="A312" s="1">
        <v>43836</v>
      </c>
      <c r="B312">
        <v>4754</v>
      </c>
      <c r="C312" t="s">
        <v>30</v>
      </c>
      <c r="D312">
        <v>202</v>
      </c>
      <c r="E312">
        <v>76.632000000000005</v>
      </c>
      <c r="F312">
        <v>0</v>
      </c>
      <c r="G312" t="s">
        <v>16</v>
      </c>
      <c r="H312" t="s">
        <v>54</v>
      </c>
      <c r="I312" t="s">
        <v>18</v>
      </c>
      <c r="J312" t="s">
        <v>29</v>
      </c>
      <c r="K312">
        <v>7</v>
      </c>
      <c r="L312">
        <v>0</v>
      </c>
      <c r="M312" s="2">
        <f t="shared" si="4"/>
        <v>15479.664000000001</v>
      </c>
      <c r="N312" s="2" t="str">
        <f>IF(Tabla1[[#This Row],[Aprobación_Veterinaria]]=1,"APROBADO","NO APROBADO")</f>
        <v>NO APROBADO</v>
      </c>
      <c r="O312" t="str">
        <f>IF(Tabla1[[#This Row],[Repite compra?]]=1,"REPITE","NO REPITE")</f>
        <v>NO REPITE</v>
      </c>
      <c r="P312" t="str">
        <f>IF(Tabla1[[#This Row],[rating_segun encuesta a Consumidor]]&lt;5,"Regular",IF(Tabla1[[#This Row],[rating_segun encuesta a Consumidor]]&gt;8,"Excelente","Bueno"))</f>
        <v>Bueno</v>
      </c>
    </row>
    <row r="313" spans="1:16" x14ac:dyDescent="0.35">
      <c r="A313" s="1">
        <v>44192</v>
      </c>
      <c r="B313">
        <v>4740</v>
      </c>
      <c r="C313" t="s">
        <v>43</v>
      </c>
      <c r="D313">
        <v>116</v>
      </c>
      <c r="E313">
        <v>228.108</v>
      </c>
      <c r="F313">
        <v>0</v>
      </c>
      <c r="G313" t="s">
        <v>21</v>
      </c>
      <c r="H313" t="s">
        <v>44</v>
      </c>
      <c r="I313" t="s">
        <v>18</v>
      </c>
      <c r="J313" t="s">
        <v>29</v>
      </c>
      <c r="K313">
        <v>7</v>
      </c>
      <c r="L313">
        <v>0</v>
      </c>
      <c r="M313" s="2">
        <f t="shared" si="4"/>
        <v>26460.528000000002</v>
      </c>
      <c r="N313" s="2" t="str">
        <f>IF(Tabla1[[#This Row],[Aprobación_Veterinaria]]=1,"APROBADO","NO APROBADO")</f>
        <v>NO APROBADO</v>
      </c>
      <c r="O313" t="str">
        <f>IF(Tabla1[[#This Row],[Repite compra?]]=1,"REPITE","NO REPITE")</f>
        <v>NO REPITE</v>
      </c>
      <c r="P313" t="str">
        <f>IF(Tabla1[[#This Row],[rating_segun encuesta a Consumidor]]&lt;5,"Regular",IF(Tabla1[[#This Row],[rating_segun encuesta a Consumidor]]&gt;8,"Excelente","Bueno"))</f>
        <v>Bueno</v>
      </c>
    </row>
    <row r="314" spans="1:16" x14ac:dyDescent="0.35">
      <c r="A314" s="1">
        <v>44053</v>
      </c>
      <c r="B314">
        <v>4314</v>
      </c>
      <c r="C314" t="s">
        <v>20</v>
      </c>
      <c r="D314">
        <v>9</v>
      </c>
      <c r="E314">
        <v>106.116</v>
      </c>
      <c r="F314">
        <v>0</v>
      </c>
      <c r="G314" t="s">
        <v>24</v>
      </c>
      <c r="H314" t="s">
        <v>22</v>
      </c>
      <c r="I314" t="s">
        <v>28</v>
      </c>
      <c r="J314" t="s">
        <v>29</v>
      </c>
      <c r="K314">
        <v>6</v>
      </c>
      <c r="L314">
        <v>0</v>
      </c>
      <c r="M314" s="2">
        <f t="shared" si="4"/>
        <v>955.04399999999998</v>
      </c>
      <c r="N314" s="2" t="str">
        <f>IF(Tabla1[[#This Row],[Aprobación_Veterinaria]]=1,"APROBADO","NO APROBADO")</f>
        <v>NO APROBADO</v>
      </c>
      <c r="O314" t="str">
        <f>IF(Tabla1[[#This Row],[Repite compra?]]=1,"REPITE","NO REPITE")</f>
        <v>NO REPITE</v>
      </c>
      <c r="P314" t="str">
        <f>IF(Tabla1[[#This Row],[rating_segun encuesta a Consumidor]]&lt;5,"Regular",IF(Tabla1[[#This Row],[rating_segun encuesta a Consumidor]]&gt;8,"Excelente","Bueno"))</f>
        <v>Bueno</v>
      </c>
    </row>
    <row r="315" spans="1:16" x14ac:dyDescent="0.35">
      <c r="A315" s="1">
        <v>44005</v>
      </c>
      <c r="B315">
        <v>4753</v>
      </c>
      <c r="C315" t="s">
        <v>39</v>
      </c>
      <c r="D315">
        <v>149</v>
      </c>
      <c r="E315">
        <v>169.70400000000001</v>
      </c>
      <c r="F315">
        <v>0</v>
      </c>
      <c r="G315" t="s">
        <v>27</v>
      </c>
      <c r="H315" t="s">
        <v>50</v>
      </c>
      <c r="I315" t="s">
        <v>41</v>
      </c>
      <c r="J315" t="s">
        <v>23</v>
      </c>
      <c r="K315">
        <v>7</v>
      </c>
      <c r="L315">
        <v>1</v>
      </c>
      <c r="M315" s="2">
        <f t="shared" si="4"/>
        <v>25285.896000000001</v>
      </c>
      <c r="N315" s="2" t="str">
        <f>IF(Tabla1[[#This Row],[Aprobación_Veterinaria]]=1,"APROBADO","NO APROBADO")</f>
        <v>NO APROBADO</v>
      </c>
      <c r="O315" t="str">
        <f>IF(Tabla1[[#This Row],[Repite compra?]]=1,"REPITE","NO REPITE")</f>
        <v>REPITE</v>
      </c>
      <c r="P315" t="str">
        <f>IF(Tabla1[[#This Row],[rating_segun encuesta a Consumidor]]&lt;5,"Regular",IF(Tabla1[[#This Row],[rating_segun encuesta a Consumidor]]&gt;8,"Excelente","Bueno"))</f>
        <v>Bueno</v>
      </c>
    </row>
    <row r="316" spans="1:16" x14ac:dyDescent="0.35">
      <c r="A316" s="1">
        <v>44017</v>
      </c>
      <c r="B316">
        <v>4483</v>
      </c>
      <c r="C316" t="s">
        <v>47</v>
      </c>
      <c r="D316">
        <v>137</v>
      </c>
      <c r="E316">
        <v>42.515999999999998</v>
      </c>
      <c r="F316">
        <v>1</v>
      </c>
      <c r="G316" t="s">
        <v>31</v>
      </c>
      <c r="H316" t="s">
        <v>22</v>
      </c>
      <c r="I316" t="s">
        <v>41</v>
      </c>
      <c r="J316" t="s">
        <v>23</v>
      </c>
      <c r="K316">
        <v>6</v>
      </c>
      <c r="L316">
        <v>1</v>
      </c>
      <c r="M316" s="2">
        <f t="shared" si="4"/>
        <v>5824.692</v>
      </c>
      <c r="N316" s="2" t="str">
        <f>IF(Tabla1[[#This Row],[Aprobación_Veterinaria]]=1,"APROBADO","NO APROBADO")</f>
        <v>APROBADO</v>
      </c>
      <c r="O316" t="str">
        <f>IF(Tabla1[[#This Row],[Repite compra?]]=1,"REPITE","NO REPITE")</f>
        <v>REPITE</v>
      </c>
      <c r="P316" t="str">
        <f>IF(Tabla1[[#This Row],[rating_segun encuesta a Consumidor]]&lt;5,"Regular",IF(Tabla1[[#This Row],[rating_segun encuesta a Consumidor]]&gt;8,"Excelente","Bueno"))</f>
        <v>Bueno</v>
      </c>
    </row>
    <row r="317" spans="1:16" x14ac:dyDescent="0.35">
      <c r="A317" s="1">
        <v>44184</v>
      </c>
      <c r="B317">
        <v>4206</v>
      </c>
      <c r="C317" t="s">
        <v>30</v>
      </c>
      <c r="D317">
        <v>174</v>
      </c>
      <c r="E317">
        <v>151.35599999999999</v>
      </c>
      <c r="F317">
        <v>1</v>
      </c>
      <c r="G317" t="s">
        <v>33</v>
      </c>
      <c r="H317" t="s">
        <v>22</v>
      </c>
      <c r="I317" t="s">
        <v>45</v>
      </c>
      <c r="J317" t="s">
        <v>49</v>
      </c>
      <c r="K317">
        <v>3</v>
      </c>
      <c r="L317">
        <v>1</v>
      </c>
      <c r="M317" s="2">
        <f t="shared" si="4"/>
        <v>26335.944</v>
      </c>
      <c r="N317" s="2" t="str">
        <f>IF(Tabla1[[#This Row],[Aprobación_Veterinaria]]=1,"APROBADO","NO APROBADO")</f>
        <v>APROBADO</v>
      </c>
      <c r="O317" t="str">
        <f>IF(Tabla1[[#This Row],[Repite compra?]]=1,"REPITE","NO REPITE")</f>
        <v>REPITE</v>
      </c>
      <c r="P317" t="str">
        <f>IF(Tabla1[[#This Row],[rating_segun encuesta a Consumidor]]&lt;5,"Regular",IF(Tabla1[[#This Row],[rating_segun encuesta a Consumidor]]&gt;8,"Excelente","Bueno"))</f>
        <v>Regular</v>
      </c>
    </row>
    <row r="318" spans="1:16" x14ac:dyDescent="0.35">
      <c r="A318" s="1">
        <v>44018</v>
      </c>
      <c r="B318">
        <v>4543</v>
      </c>
      <c r="C318" t="s">
        <v>32</v>
      </c>
      <c r="D318">
        <v>101</v>
      </c>
      <c r="E318">
        <v>66.540000000000006</v>
      </c>
      <c r="F318">
        <v>0</v>
      </c>
      <c r="G318" t="s">
        <v>34</v>
      </c>
      <c r="H318" t="s">
        <v>22</v>
      </c>
      <c r="I318" t="s">
        <v>41</v>
      </c>
      <c r="J318" t="s">
        <v>23</v>
      </c>
      <c r="K318">
        <v>10</v>
      </c>
      <c r="L318">
        <v>1</v>
      </c>
      <c r="M318" s="2">
        <f t="shared" si="4"/>
        <v>6720.5400000000009</v>
      </c>
      <c r="N318" s="2" t="str">
        <f>IF(Tabla1[[#This Row],[Aprobación_Veterinaria]]=1,"APROBADO","NO APROBADO")</f>
        <v>NO APROBADO</v>
      </c>
      <c r="O318" t="str">
        <f>IF(Tabla1[[#This Row],[Repite compra?]]=1,"REPITE","NO REPITE")</f>
        <v>REPITE</v>
      </c>
      <c r="P318" t="str">
        <f>IF(Tabla1[[#This Row],[rating_segun encuesta a Consumidor]]&lt;5,"Regular",IF(Tabla1[[#This Row],[rating_segun encuesta a Consumidor]]&gt;8,"Excelente","Bueno"))</f>
        <v>Excelente</v>
      </c>
    </row>
    <row r="319" spans="1:16" x14ac:dyDescent="0.35">
      <c r="A319" s="1">
        <v>44163</v>
      </c>
      <c r="B319">
        <v>4574</v>
      </c>
      <c r="C319" t="s">
        <v>15</v>
      </c>
      <c r="D319">
        <v>200</v>
      </c>
      <c r="E319">
        <v>115.72800000000001</v>
      </c>
      <c r="F319">
        <v>1</v>
      </c>
      <c r="G319" t="s">
        <v>36</v>
      </c>
      <c r="H319" t="s">
        <v>22</v>
      </c>
      <c r="I319" t="s">
        <v>28</v>
      </c>
      <c r="J319" t="s">
        <v>29</v>
      </c>
      <c r="K319">
        <v>10</v>
      </c>
      <c r="L319">
        <v>1</v>
      </c>
      <c r="M319" s="2">
        <f t="shared" si="4"/>
        <v>23145.600000000002</v>
      </c>
      <c r="N319" s="2" t="str">
        <f>IF(Tabla1[[#This Row],[Aprobación_Veterinaria]]=1,"APROBADO","NO APROBADO")</f>
        <v>APROBADO</v>
      </c>
      <c r="O319" t="str">
        <f>IF(Tabla1[[#This Row],[Repite compra?]]=1,"REPITE","NO REPITE")</f>
        <v>REPITE</v>
      </c>
      <c r="P319" t="str">
        <f>IF(Tabla1[[#This Row],[rating_segun encuesta a Consumidor]]&lt;5,"Regular",IF(Tabla1[[#This Row],[rating_segun encuesta a Consumidor]]&gt;8,"Excelente","Bueno"))</f>
        <v>Excelente</v>
      </c>
    </row>
    <row r="320" spans="1:16" x14ac:dyDescent="0.35">
      <c r="A320" s="1">
        <v>44125</v>
      </c>
      <c r="B320">
        <v>4468</v>
      </c>
      <c r="C320" t="s">
        <v>20</v>
      </c>
      <c r="D320">
        <v>52</v>
      </c>
      <c r="E320">
        <v>228.768</v>
      </c>
      <c r="F320">
        <v>1</v>
      </c>
      <c r="G320" t="s">
        <v>37</v>
      </c>
      <c r="H320" t="s">
        <v>22</v>
      </c>
      <c r="I320" t="s">
        <v>41</v>
      </c>
      <c r="J320" t="s">
        <v>29</v>
      </c>
      <c r="K320">
        <v>7</v>
      </c>
      <c r="L320">
        <v>1</v>
      </c>
      <c r="M320" s="2">
        <f t="shared" si="4"/>
        <v>11895.936</v>
      </c>
      <c r="N320" s="2" t="str">
        <f>IF(Tabla1[[#This Row],[Aprobación_Veterinaria]]=1,"APROBADO","NO APROBADO")</f>
        <v>APROBADO</v>
      </c>
      <c r="O320" t="str">
        <f>IF(Tabla1[[#This Row],[Repite compra?]]=1,"REPITE","NO REPITE")</f>
        <v>REPITE</v>
      </c>
      <c r="P320" t="str">
        <f>IF(Tabla1[[#This Row],[rating_segun encuesta a Consumidor]]&lt;5,"Regular",IF(Tabla1[[#This Row],[rating_segun encuesta a Consumidor]]&gt;8,"Excelente","Bueno"))</f>
        <v>Bueno</v>
      </c>
    </row>
    <row r="321" spans="1:16" x14ac:dyDescent="0.35">
      <c r="A321" s="1">
        <v>44022</v>
      </c>
      <c r="B321">
        <v>4700</v>
      </c>
      <c r="C321" t="s">
        <v>30</v>
      </c>
      <c r="D321">
        <v>217</v>
      </c>
      <c r="E321">
        <v>42.660000000000004</v>
      </c>
      <c r="F321">
        <v>0</v>
      </c>
      <c r="G321" t="s">
        <v>40</v>
      </c>
      <c r="H321" t="s">
        <v>44</v>
      </c>
      <c r="I321" t="s">
        <v>35</v>
      </c>
      <c r="J321" t="s">
        <v>29</v>
      </c>
      <c r="K321">
        <v>10</v>
      </c>
      <c r="L321">
        <v>1</v>
      </c>
      <c r="M321" s="2">
        <f t="shared" si="4"/>
        <v>9257.2200000000012</v>
      </c>
      <c r="N321" s="2" t="str">
        <f>IF(Tabla1[[#This Row],[Aprobación_Veterinaria]]=1,"APROBADO","NO APROBADO")</f>
        <v>NO APROBADO</v>
      </c>
      <c r="O321" t="str">
        <f>IF(Tabla1[[#This Row],[Repite compra?]]=1,"REPITE","NO REPITE")</f>
        <v>REPITE</v>
      </c>
      <c r="P321" t="str">
        <f>IF(Tabla1[[#This Row],[rating_segun encuesta a Consumidor]]&lt;5,"Regular",IF(Tabla1[[#This Row],[rating_segun encuesta a Consumidor]]&gt;8,"Excelente","Bueno"))</f>
        <v>Excelente</v>
      </c>
    </row>
    <row r="322" spans="1:16" x14ac:dyDescent="0.35">
      <c r="A322" s="1">
        <v>44128</v>
      </c>
      <c r="B322">
        <v>4819</v>
      </c>
      <c r="C322" t="s">
        <v>26</v>
      </c>
      <c r="D322">
        <v>181</v>
      </c>
      <c r="E322">
        <v>26.676000000000002</v>
      </c>
      <c r="F322">
        <v>0</v>
      </c>
      <c r="G322" t="s">
        <v>16</v>
      </c>
      <c r="H322" t="s">
        <v>54</v>
      </c>
      <c r="I322" t="s">
        <v>41</v>
      </c>
      <c r="J322" t="s">
        <v>23</v>
      </c>
      <c r="K322">
        <v>2</v>
      </c>
      <c r="L322">
        <v>1</v>
      </c>
      <c r="M322" s="2">
        <f t="shared" ref="M322:M385" si="5">D322*E322</f>
        <v>4828.3560000000007</v>
      </c>
      <c r="N322" s="2" t="str">
        <f>IF(Tabla1[[#This Row],[Aprobación_Veterinaria]]=1,"APROBADO","NO APROBADO")</f>
        <v>NO APROBADO</v>
      </c>
      <c r="O322" t="str">
        <f>IF(Tabla1[[#This Row],[Repite compra?]]=1,"REPITE","NO REPITE")</f>
        <v>REPITE</v>
      </c>
      <c r="P322" t="str">
        <f>IF(Tabla1[[#This Row],[rating_segun encuesta a Consumidor]]&lt;5,"Regular",IF(Tabla1[[#This Row],[rating_segun encuesta a Consumidor]]&gt;8,"Excelente","Bueno"))</f>
        <v>Regular</v>
      </c>
    </row>
    <row r="323" spans="1:16" x14ac:dyDescent="0.35">
      <c r="A323" s="1">
        <v>43863</v>
      </c>
      <c r="B323">
        <v>4396</v>
      </c>
      <c r="C323" t="s">
        <v>43</v>
      </c>
      <c r="D323">
        <v>222</v>
      </c>
      <c r="E323">
        <v>205.392</v>
      </c>
      <c r="F323">
        <v>1</v>
      </c>
      <c r="G323" t="s">
        <v>21</v>
      </c>
      <c r="H323" t="s">
        <v>22</v>
      </c>
      <c r="I323" t="s">
        <v>45</v>
      </c>
      <c r="J323" t="s">
        <v>29</v>
      </c>
      <c r="K323">
        <v>8</v>
      </c>
      <c r="L323">
        <v>1</v>
      </c>
      <c r="M323" s="2">
        <f t="shared" si="5"/>
        <v>45597.023999999998</v>
      </c>
      <c r="N323" s="2" t="str">
        <f>IF(Tabla1[[#This Row],[Aprobación_Veterinaria]]=1,"APROBADO","NO APROBADO")</f>
        <v>APROBADO</v>
      </c>
      <c r="O323" t="str">
        <f>IF(Tabla1[[#This Row],[Repite compra?]]=1,"REPITE","NO REPITE")</f>
        <v>REPITE</v>
      </c>
      <c r="P323" t="str">
        <f>IF(Tabla1[[#This Row],[rating_segun encuesta a Consumidor]]&lt;5,"Regular",IF(Tabla1[[#This Row],[rating_segun encuesta a Consumidor]]&gt;8,"Excelente","Bueno"))</f>
        <v>Bueno</v>
      </c>
    </row>
    <row r="324" spans="1:16" x14ac:dyDescent="0.35">
      <c r="A324" s="1">
        <v>43925</v>
      </c>
      <c r="B324">
        <v>4915</v>
      </c>
      <c r="C324" t="s">
        <v>26</v>
      </c>
      <c r="D324">
        <v>163</v>
      </c>
      <c r="E324">
        <v>128.61600000000001</v>
      </c>
      <c r="F324">
        <v>1</v>
      </c>
      <c r="G324" t="s">
        <v>24</v>
      </c>
      <c r="H324" t="s">
        <v>44</v>
      </c>
      <c r="I324" t="s">
        <v>41</v>
      </c>
      <c r="J324" t="s">
        <v>23</v>
      </c>
      <c r="K324">
        <v>6</v>
      </c>
      <c r="L324">
        <v>0</v>
      </c>
      <c r="M324" s="2">
        <f t="shared" si="5"/>
        <v>20964.408000000003</v>
      </c>
      <c r="N324" s="2" t="str">
        <f>IF(Tabla1[[#This Row],[Aprobación_Veterinaria]]=1,"APROBADO","NO APROBADO")</f>
        <v>APROBADO</v>
      </c>
      <c r="O324" t="str">
        <f>IF(Tabla1[[#This Row],[Repite compra?]]=1,"REPITE","NO REPITE")</f>
        <v>NO REPITE</v>
      </c>
      <c r="P324" t="str">
        <f>IF(Tabla1[[#This Row],[rating_segun encuesta a Consumidor]]&lt;5,"Regular",IF(Tabla1[[#This Row],[rating_segun encuesta a Consumidor]]&gt;8,"Excelente","Bueno"))</f>
        <v>Bueno</v>
      </c>
    </row>
    <row r="325" spans="1:16" x14ac:dyDescent="0.35">
      <c r="A325" s="1">
        <v>44006</v>
      </c>
      <c r="B325">
        <v>4809</v>
      </c>
      <c r="C325" t="s">
        <v>15</v>
      </c>
      <c r="D325">
        <v>202</v>
      </c>
      <c r="E325">
        <v>69.096000000000004</v>
      </c>
      <c r="F325">
        <v>0</v>
      </c>
      <c r="G325" t="s">
        <v>27</v>
      </c>
      <c r="H325" t="s">
        <v>54</v>
      </c>
      <c r="I325" t="s">
        <v>41</v>
      </c>
      <c r="J325" t="s">
        <v>23</v>
      </c>
      <c r="K325">
        <v>2</v>
      </c>
      <c r="L325">
        <v>1</v>
      </c>
      <c r="M325" s="2">
        <f t="shared" si="5"/>
        <v>13957.392</v>
      </c>
      <c r="N325" s="2" t="str">
        <f>IF(Tabla1[[#This Row],[Aprobación_Veterinaria]]=1,"APROBADO","NO APROBADO")</f>
        <v>NO APROBADO</v>
      </c>
      <c r="O325" t="str">
        <f>IF(Tabla1[[#This Row],[Repite compra?]]=1,"REPITE","NO REPITE")</f>
        <v>REPITE</v>
      </c>
      <c r="P325" t="str">
        <f>IF(Tabla1[[#This Row],[rating_segun encuesta a Consumidor]]&lt;5,"Regular",IF(Tabla1[[#This Row],[rating_segun encuesta a Consumidor]]&gt;8,"Excelente","Bueno"))</f>
        <v>Regular</v>
      </c>
    </row>
    <row r="326" spans="1:16" x14ac:dyDescent="0.35">
      <c r="A326" s="1">
        <v>44133</v>
      </c>
      <c r="B326">
        <v>4309</v>
      </c>
      <c r="C326" t="s">
        <v>26</v>
      </c>
      <c r="D326">
        <v>59</v>
      </c>
      <c r="E326">
        <v>101.736</v>
      </c>
      <c r="F326">
        <v>0</v>
      </c>
      <c r="G326" t="s">
        <v>31</v>
      </c>
      <c r="H326" t="s">
        <v>22</v>
      </c>
      <c r="I326" t="s">
        <v>28</v>
      </c>
      <c r="J326" t="s">
        <v>25</v>
      </c>
      <c r="K326">
        <v>10</v>
      </c>
      <c r="L326">
        <v>1</v>
      </c>
      <c r="M326" s="2">
        <f t="shared" si="5"/>
        <v>6002.424</v>
      </c>
      <c r="N326" s="2" t="str">
        <f>IF(Tabla1[[#This Row],[Aprobación_Veterinaria]]=1,"APROBADO","NO APROBADO")</f>
        <v>NO APROBADO</v>
      </c>
      <c r="O326" t="str">
        <f>IF(Tabla1[[#This Row],[Repite compra?]]=1,"REPITE","NO REPITE")</f>
        <v>REPITE</v>
      </c>
      <c r="P326" t="str">
        <f>IF(Tabla1[[#This Row],[rating_segun encuesta a Consumidor]]&lt;5,"Regular",IF(Tabla1[[#This Row],[rating_segun encuesta a Consumidor]]&gt;8,"Excelente","Bueno"))</f>
        <v>Excelente</v>
      </c>
    </row>
    <row r="327" spans="1:16" x14ac:dyDescent="0.35">
      <c r="A327" s="1">
        <v>44192</v>
      </c>
      <c r="B327">
        <v>4933</v>
      </c>
      <c r="C327" t="s">
        <v>26</v>
      </c>
      <c r="D327">
        <v>49</v>
      </c>
      <c r="E327">
        <v>195.06</v>
      </c>
      <c r="F327">
        <v>1</v>
      </c>
      <c r="G327" t="s">
        <v>33</v>
      </c>
      <c r="H327" t="s">
        <v>50</v>
      </c>
      <c r="I327" t="s">
        <v>41</v>
      </c>
      <c r="J327" t="s">
        <v>23</v>
      </c>
      <c r="K327">
        <v>6</v>
      </c>
      <c r="L327">
        <v>0</v>
      </c>
      <c r="M327" s="2">
        <f t="shared" si="5"/>
        <v>9557.94</v>
      </c>
      <c r="N327" s="2" t="str">
        <f>IF(Tabla1[[#This Row],[Aprobación_Veterinaria]]=1,"APROBADO","NO APROBADO")</f>
        <v>APROBADO</v>
      </c>
      <c r="O327" t="str">
        <f>IF(Tabla1[[#This Row],[Repite compra?]]=1,"REPITE","NO REPITE")</f>
        <v>NO REPITE</v>
      </c>
      <c r="P327" t="str">
        <f>IF(Tabla1[[#This Row],[rating_segun encuesta a Consumidor]]&lt;5,"Regular",IF(Tabla1[[#This Row],[rating_segun encuesta a Consumidor]]&gt;8,"Excelente","Bueno"))</f>
        <v>Bueno</v>
      </c>
    </row>
    <row r="328" spans="1:16" x14ac:dyDescent="0.35">
      <c r="A328" s="1">
        <v>44142</v>
      </c>
      <c r="B328">
        <v>4976</v>
      </c>
      <c r="C328" t="s">
        <v>20</v>
      </c>
      <c r="D328">
        <v>141</v>
      </c>
      <c r="E328">
        <v>153.24</v>
      </c>
      <c r="F328">
        <v>0</v>
      </c>
      <c r="G328" t="s">
        <v>34</v>
      </c>
      <c r="H328" t="s">
        <v>48</v>
      </c>
      <c r="I328" t="s">
        <v>18</v>
      </c>
      <c r="J328" t="s">
        <v>19</v>
      </c>
      <c r="K328">
        <v>6</v>
      </c>
      <c r="L328">
        <v>0</v>
      </c>
      <c r="M328" s="2">
        <f t="shared" si="5"/>
        <v>21606.84</v>
      </c>
      <c r="N328" s="2" t="str">
        <f>IF(Tabla1[[#This Row],[Aprobación_Veterinaria]]=1,"APROBADO","NO APROBADO")</f>
        <v>NO APROBADO</v>
      </c>
      <c r="O328" t="str">
        <f>IF(Tabla1[[#This Row],[Repite compra?]]=1,"REPITE","NO REPITE")</f>
        <v>NO REPITE</v>
      </c>
      <c r="P328" t="str">
        <f>IF(Tabla1[[#This Row],[rating_segun encuesta a Consumidor]]&lt;5,"Regular",IF(Tabla1[[#This Row],[rating_segun encuesta a Consumidor]]&gt;8,"Excelente","Bueno"))</f>
        <v>Bueno</v>
      </c>
    </row>
    <row r="329" spans="1:16" x14ac:dyDescent="0.35">
      <c r="A329" s="1">
        <v>43879</v>
      </c>
      <c r="B329">
        <v>4646</v>
      </c>
      <c r="C329" t="s">
        <v>30</v>
      </c>
      <c r="D329">
        <v>26</v>
      </c>
      <c r="E329">
        <v>98.064000000000007</v>
      </c>
      <c r="F329">
        <v>1</v>
      </c>
      <c r="G329" t="s">
        <v>36</v>
      </c>
      <c r="H329" t="s">
        <v>22</v>
      </c>
      <c r="I329" t="s">
        <v>45</v>
      </c>
      <c r="J329" t="s">
        <v>29</v>
      </c>
      <c r="K329">
        <v>10</v>
      </c>
      <c r="L329">
        <v>0</v>
      </c>
      <c r="M329" s="2">
        <f t="shared" si="5"/>
        <v>2549.6640000000002</v>
      </c>
      <c r="N329" s="2" t="str">
        <f>IF(Tabla1[[#This Row],[Aprobación_Veterinaria]]=1,"APROBADO","NO APROBADO")</f>
        <v>APROBADO</v>
      </c>
      <c r="O329" t="str">
        <f>IF(Tabla1[[#This Row],[Repite compra?]]=1,"REPITE","NO REPITE")</f>
        <v>NO REPITE</v>
      </c>
      <c r="P329" t="str">
        <f>IF(Tabla1[[#This Row],[rating_segun encuesta a Consumidor]]&lt;5,"Regular",IF(Tabla1[[#This Row],[rating_segun encuesta a Consumidor]]&gt;8,"Excelente","Bueno"))</f>
        <v>Excelente</v>
      </c>
    </row>
    <row r="330" spans="1:16" x14ac:dyDescent="0.35">
      <c r="A330" s="1">
        <v>43930</v>
      </c>
      <c r="B330">
        <v>4485</v>
      </c>
      <c r="C330" t="s">
        <v>26</v>
      </c>
      <c r="D330">
        <v>16</v>
      </c>
      <c r="E330">
        <v>20.231999999999999</v>
      </c>
      <c r="F330">
        <v>1</v>
      </c>
      <c r="G330" t="s">
        <v>37</v>
      </c>
      <c r="H330" t="s">
        <v>22</v>
      </c>
      <c r="I330" t="s">
        <v>35</v>
      </c>
      <c r="J330" t="s">
        <v>23</v>
      </c>
      <c r="K330">
        <v>2</v>
      </c>
      <c r="L330">
        <v>0</v>
      </c>
      <c r="M330" s="2">
        <f t="shared" si="5"/>
        <v>323.71199999999999</v>
      </c>
      <c r="N330" s="2" t="str">
        <f>IF(Tabla1[[#This Row],[Aprobación_Veterinaria]]=1,"APROBADO","NO APROBADO")</f>
        <v>APROBADO</v>
      </c>
      <c r="O330" t="str">
        <f>IF(Tabla1[[#This Row],[Repite compra?]]=1,"REPITE","NO REPITE")</f>
        <v>NO REPITE</v>
      </c>
      <c r="P330" t="str">
        <f>IF(Tabla1[[#This Row],[rating_segun encuesta a Consumidor]]&lt;5,"Regular",IF(Tabla1[[#This Row],[rating_segun encuesta a Consumidor]]&gt;8,"Excelente","Bueno"))</f>
        <v>Regular</v>
      </c>
    </row>
    <row r="331" spans="1:16" x14ac:dyDescent="0.35">
      <c r="A331" s="1">
        <v>44160</v>
      </c>
      <c r="B331">
        <v>4803</v>
      </c>
      <c r="C331" t="s">
        <v>15</v>
      </c>
      <c r="D331">
        <v>226</v>
      </c>
      <c r="E331">
        <v>225.34800000000001</v>
      </c>
      <c r="F331">
        <v>0</v>
      </c>
      <c r="G331" t="s">
        <v>40</v>
      </c>
      <c r="H331" t="s">
        <v>50</v>
      </c>
      <c r="I331" t="s">
        <v>41</v>
      </c>
      <c r="J331" t="s">
        <v>23</v>
      </c>
      <c r="K331">
        <v>7</v>
      </c>
      <c r="L331">
        <v>1</v>
      </c>
      <c r="M331" s="2">
        <f t="shared" si="5"/>
        <v>50928.648000000001</v>
      </c>
      <c r="N331" s="2" t="str">
        <f>IF(Tabla1[[#This Row],[Aprobación_Veterinaria]]=1,"APROBADO","NO APROBADO")</f>
        <v>NO APROBADO</v>
      </c>
      <c r="O331" t="str">
        <f>IF(Tabla1[[#This Row],[Repite compra?]]=1,"REPITE","NO REPITE")</f>
        <v>REPITE</v>
      </c>
      <c r="P331" t="str">
        <f>IF(Tabla1[[#This Row],[rating_segun encuesta a Consumidor]]&lt;5,"Regular",IF(Tabla1[[#This Row],[rating_segun encuesta a Consumidor]]&gt;8,"Excelente","Bueno"))</f>
        <v>Bueno</v>
      </c>
    </row>
    <row r="332" spans="1:16" x14ac:dyDescent="0.35">
      <c r="A332" s="1">
        <v>44098</v>
      </c>
      <c r="B332">
        <v>4409</v>
      </c>
      <c r="C332" t="s">
        <v>15</v>
      </c>
      <c r="D332">
        <v>209</v>
      </c>
      <c r="E332">
        <v>95.963999999999999</v>
      </c>
      <c r="F332">
        <v>0</v>
      </c>
      <c r="G332" t="s">
        <v>16</v>
      </c>
      <c r="H332" t="s">
        <v>22</v>
      </c>
      <c r="I332" t="s">
        <v>28</v>
      </c>
      <c r="J332" t="s">
        <v>23</v>
      </c>
      <c r="K332">
        <v>1</v>
      </c>
      <c r="L332">
        <v>1</v>
      </c>
      <c r="M332" s="2">
        <f t="shared" si="5"/>
        <v>20056.475999999999</v>
      </c>
      <c r="N332" s="2" t="str">
        <f>IF(Tabla1[[#This Row],[Aprobación_Veterinaria]]=1,"APROBADO","NO APROBADO")</f>
        <v>NO APROBADO</v>
      </c>
      <c r="O332" t="str">
        <f>IF(Tabla1[[#This Row],[Repite compra?]]=1,"REPITE","NO REPITE")</f>
        <v>REPITE</v>
      </c>
      <c r="P332" t="str">
        <f>IF(Tabla1[[#This Row],[rating_segun encuesta a Consumidor]]&lt;5,"Regular",IF(Tabla1[[#This Row],[rating_segun encuesta a Consumidor]]&gt;8,"Excelente","Bueno"))</f>
        <v>Regular</v>
      </c>
    </row>
    <row r="333" spans="1:16" x14ac:dyDescent="0.35">
      <c r="A333" s="1">
        <v>44021</v>
      </c>
      <c r="B333">
        <v>4454</v>
      </c>
      <c r="C333" t="s">
        <v>46</v>
      </c>
      <c r="D333">
        <v>42</v>
      </c>
      <c r="E333">
        <v>177.756</v>
      </c>
      <c r="F333">
        <v>1</v>
      </c>
      <c r="G333" t="s">
        <v>21</v>
      </c>
      <c r="H333" t="s">
        <v>22</v>
      </c>
      <c r="I333" t="s">
        <v>28</v>
      </c>
      <c r="J333" t="s">
        <v>29</v>
      </c>
      <c r="K333">
        <v>9</v>
      </c>
      <c r="L333">
        <v>1</v>
      </c>
      <c r="M333" s="2">
        <f t="shared" si="5"/>
        <v>7465.7520000000004</v>
      </c>
      <c r="N333" s="2" t="str">
        <f>IF(Tabla1[[#This Row],[Aprobación_Veterinaria]]=1,"APROBADO","NO APROBADO")</f>
        <v>APROBADO</v>
      </c>
      <c r="O333" t="str">
        <f>IF(Tabla1[[#This Row],[Repite compra?]]=1,"REPITE","NO REPITE")</f>
        <v>REPITE</v>
      </c>
      <c r="P333" t="str">
        <f>IF(Tabla1[[#This Row],[rating_segun encuesta a Consumidor]]&lt;5,"Regular",IF(Tabla1[[#This Row],[rating_segun encuesta a Consumidor]]&gt;8,"Excelente","Bueno"))</f>
        <v>Excelente</v>
      </c>
    </row>
    <row r="334" spans="1:16" x14ac:dyDescent="0.35">
      <c r="A334" s="1">
        <v>43963</v>
      </c>
      <c r="B334">
        <v>4603</v>
      </c>
      <c r="C334" t="s">
        <v>51</v>
      </c>
      <c r="D334">
        <v>100</v>
      </c>
      <c r="E334">
        <v>47.387999999999998</v>
      </c>
      <c r="F334">
        <v>1</v>
      </c>
      <c r="G334" t="s">
        <v>24</v>
      </c>
      <c r="H334" t="s">
        <v>22</v>
      </c>
      <c r="I334" t="s">
        <v>41</v>
      </c>
      <c r="J334" t="s">
        <v>23</v>
      </c>
      <c r="K334">
        <v>10</v>
      </c>
      <c r="L334">
        <v>1</v>
      </c>
      <c r="M334" s="2">
        <f t="shared" si="5"/>
        <v>4738.8</v>
      </c>
      <c r="N334" s="2" t="str">
        <f>IF(Tabla1[[#This Row],[Aprobación_Veterinaria]]=1,"APROBADO","NO APROBADO")</f>
        <v>APROBADO</v>
      </c>
      <c r="O334" t="str">
        <f>IF(Tabla1[[#This Row],[Repite compra?]]=1,"REPITE","NO REPITE")</f>
        <v>REPITE</v>
      </c>
      <c r="P334" t="str">
        <f>IF(Tabla1[[#This Row],[rating_segun encuesta a Consumidor]]&lt;5,"Regular",IF(Tabla1[[#This Row],[rating_segun encuesta a Consumidor]]&gt;8,"Excelente","Bueno"))</f>
        <v>Excelente</v>
      </c>
    </row>
    <row r="335" spans="1:16" x14ac:dyDescent="0.35">
      <c r="A335" s="1">
        <v>44128</v>
      </c>
      <c r="B335">
        <v>4301</v>
      </c>
      <c r="C335" t="s">
        <v>32</v>
      </c>
      <c r="D335">
        <v>93</v>
      </c>
      <c r="E335">
        <v>137.47200000000001</v>
      </c>
      <c r="F335">
        <v>1</v>
      </c>
      <c r="G335" t="s">
        <v>27</v>
      </c>
      <c r="H335" t="s">
        <v>22</v>
      </c>
      <c r="I335" t="s">
        <v>45</v>
      </c>
      <c r="J335" t="s">
        <v>19</v>
      </c>
      <c r="K335">
        <v>7</v>
      </c>
      <c r="L335">
        <v>0</v>
      </c>
      <c r="M335" s="2">
        <f t="shared" si="5"/>
        <v>12784.896000000001</v>
      </c>
      <c r="N335" s="2" t="str">
        <f>IF(Tabla1[[#This Row],[Aprobación_Veterinaria]]=1,"APROBADO","NO APROBADO")</f>
        <v>APROBADO</v>
      </c>
      <c r="O335" t="str">
        <f>IF(Tabla1[[#This Row],[Repite compra?]]=1,"REPITE","NO REPITE")</f>
        <v>NO REPITE</v>
      </c>
      <c r="P335" t="str">
        <f>IF(Tabla1[[#This Row],[rating_segun encuesta a Consumidor]]&lt;5,"Regular",IF(Tabla1[[#This Row],[rating_segun encuesta a Consumidor]]&gt;8,"Excelente","Bueno"))</f>
        <v>Bueno</v>
      </c>
    </row>
    <row r="336" spans="1:16" x14ac:dyDescent="0.35">
      <c r="A336" s="1">
        <v>44128</v>
      </c>
      <c r="B336">
        <v>4735</v>
      </c>
      <c r="C336" t="s">
        <v>39</v>
      </c>
      <c r="D336">
        <v>205</v>
      </c>
      <c r="E336">
        <v>221.60400000000001</v>
      </c>
      <c r="F336">
        <v>0</v>
      </c>
      <c r="G336" t="s">
        <v>31</v>
      </c>
      <c r="H336" t="s">
        <v>44</v>
      </c>
      <c r="I336" t="s">
        <v>41</v>
      </c>
      <c r="J336" t="s">
        <v>23</v>
      </c>
      <c r="K336">
        <v>7</v>
      </c>
      <c r="L336">
        <v>0</v>
      </c>
      <c r="M336" s="2">
        <f t="shared" si="5"/>
        <v>45428.82</v>
      </c>
      <c r="N336" s="2" t="str">
        <f>IF(Tabla1[[#This Row],[Aprobación_Veterinaria]]=1,"APROBADO","NO APROBADO")</f>
        <v>NO APROBADO</v>
      </c>
      <c r="O336" t="str">
        <f>IF(Tabla1[[#This Row],[Repite compra?]]=1,"REPITE","NO REPITE")</f>
        <v>NO REPITE</v>
      </c>
      <c r="P336" t="str">
        <f>IF(Tabla1[[#This Row],[rating_segun encuesta a Consumidor]]&lt;5,"Regular",IF(Tabla1[[#This Row],[rating_segun encuesta a Consumidor]]&gt;8,"Excelente","Bueno"))</f>
        <v>Bueno</v>
      </c>
    </row>
    <row r="337" spans="1:16" x14ac:dyDescent="0.35">
      <c r="A337" s="1">
        <v>44031</v>
      </c>
      <c r="B337">
        <v>4838</v>
      </c>
      <c r="C337" t="s">
        <v>20</v>
      </c>
      <c r="D337">
        <v>105</v>
      </c>
      <c r="E337">
        <v>111.78</v>
      </c>
      <c r="F337">
        <v>0</v>
      </c>
      <c r="G337" t="s">
        <v>33</v>
      </c>
      <c r="H337" t="s">
        <v>50</v>
      </c>
      <c r="I337" t="s">
        <v>18</v>
      </c>
      <c r="J337" t="s">
        <v>29</v>
      </c>
      <c r="K337">
        <v>2</v>
      </c>
      <c r="L337">
        <v>1</v>
      </c>
      <c r="M337" s="2">
        <f t="shared" si="5"/>
        <v>11736.9</v>
      </c>
      <c r="N337" s="2" t="str">
        <f>IF(Tabla1[[#This Row],[Aprobación_Veterinaria]]=1,"APROBADO","NO APROBADO")</f>
        <v>NO APROBADO</v>
      </c>
      <c r="O337" t="str">
        <f>IF(Tabla1[[#This Row],[Repite compra?]]=1,"REPITE","NO REPITE")</f>
        <v>REPITE</v>
      </c>
      <c r="P337" t="str">
        <f>IF(Tabla1[[#This Row],[rating_segun encuesta a Consumidor]]&lt;5,"Regular",IF(Tabla1[[#This Row],[rating_segun encuesta a Consumidor]]&gt;8,"Excelente","Bueno"))</f>
        <v>Regular</v>
      </c>
    </row>
    <row r="338" spans="1:16" x14ac:dyDescent="0.35">
      <c r="A338" s="1">
        <v>43858</v>
      </c>
      <c r="B338">
        <v>4894</v>
      </c>
      <c r="C338" t="s">
        <v>26</v>
      </c>
      <c r="D338">
        <v>161</v>
      </c>
      <c r="E338">
        <v>219.756</v>
      </c>
      <c r="F338">
        <v>1</v>
      </c>
      <c r="G338" t="s">
        <v>34</v>
      </c>
      <c r="H338" t="s">
        <v>54</v>
      </c>
      <c r="I338" t="s">
        <v>18</v>
      </c>
      <c r="J338" t="s">
        <v>29</v>
      </c>
      <c r="K338">
        <v>6</v>
      </c>
      <c r="L338">
        <v>0</v>
      </c>
      <c r="M338" s="2">
        <f t="shared" si="5"/>
        <v>35380.716</v>
      </c>
      <c r="N338" s="2" t="str">
        <f>IF(Tabla1[[#This Row],[Aprobación_Veterinaria]]=1,"APROBADO","NO APROBADO")</f>
        <v>APROBADO</v>
      </c>
      <c r="O338" t="str">
        <f>IF(Tabla1[[#This Row],[Repite compra?]]=1,"REPITE","NO REPITE")</f>
        <v>NO REPITE</v>
      </c>
      <c r="P338" t="str">
        <f>IF(Tabla1[[#This Row],[rating_segun encuesta a Consumidor]]&lt;5,"Regular",IF(Tabla1[[#This Row],[rating_segun encuesta a Consumidor]]&gt;8,"Excelente","Bueno"))</f>
        <v>Bueno</v>
      </c>
    </row>
    <row r="339" spans="1:16" x14ac:dyDescent="0.35">
      <c r="A339" s="1">
        <v>44174</v>
      </c>
      <c r="B339">
        <v>4590</v>
      </c>
      <c r="C339" t="s">
        <v>39</v>
      </c>
      <c r="D339">
        <v>113</v>
      </c>
      <c r="E339">
        <v>109.812</v>
      </c>
      <c r="F339">
        <v>0</v>
      </c>
      <c r="G339" t="s">
        <v>36</v>
      </c>
      <c r="H339" t="s">
        <v>22</v>
      </c>
      <c r="I339" t="s">
        <v>35</v>
      </c>
      <c r="J339" t="s">
        <v>29</v>
      </c>
      <c r="K339">
        <v>10</v>
      </c>
      <c r="L339">
        <v>1</v>
      </c>
      <c r="M339" s="2">
        <f t="shared" si="5"/>
        <v>12408.755999999999</v>
      </c>
      <c r="N339" s="2" t="str">
        <f>IF(Tabla1[[#This Row],[Aprobación_Veterinaria]]=1,"APROBADO","NO APROBADO")</f>
        <v>NO APROBADO</v>
      </c>
      <c r="O339" t="str">
        <f>IF(Tabla1[[#This Row],[Repite compra?]]=1,"REPITE","NO REPITE")</f>
        <v>REPITE</v>
      </c>
      <c r="P339" t="str">
        <f>IF(Tabla1[[#This Row],[rating_segun encuesta a Consumidor]]&lt;5,"Regular",IF(Tabla1[[#This Row],[rating_segun encuesta a Consumidor]]&gt;8,"Excelente","Bueno"))</f>
        <v>Excelente</v>
      </c>
    </row>
    <row r="340" spans="1:16" x14ac:dyDescent="0.35">
      <c r="A340" s="1">
        <v>43879</v>
      </c>
      <c r="B340">
        <v>4959</v>
      </c>
      <c r="C340" t="s">
        <v>15</v>
      </c>
      <c r="D340">
        <v>144</v>
      </c>
      <c r="E340">
        <v>143.88</v>
      </c>
      <c r="F340">
        <v>0</v>
      </c>
      <c r="G340" t="s">
        <v>37</v>
      </c>
      <c r="H340" t="s">
        <v>54</v>
      </c>
      <c r="I340" t="s">
        <v>41</v>
      </c>
      <c r="J340" t="s">
        <v>49</v>
      </c>
      <c r="K340">
        <v>6</v>
      </c>
      <c r="L340">
        <v>0</v>
      </c>
      <c r="M340" s="2">
        <f t="shared" si="5"/>
        <v>20718.72</v>
      </c>
      <c r="N340" s="2" t="str">
        <f>IF(Tabla1[[#This Row],[Aprobación_Veterinaria]]=1,"APROBADO","NO APROBADO")</f>
        <v>NO APROBADO</v>
      </c>
      <c r="O340" t="str">
        <f>IF(Tabla1[[#This Row],[Repite compra?]]=1,"REPITE","NO REPITE")</f>
        <v>NO REPITE</v>
      </c>
      <c r="P340" t="str">
        <f>IF(Tabla1[[#This Row],[rating_segun encuesta a Consumidor]]&lt;5,"Regular",IF(Tabla1[[#This Row],[rating_segun encuesta a Consumidor]]&gt;8,"Excelente","Bueno"))</f>
        <v>Bueno</v>
      </c>
    </row>
    <row r="341" spans="1:16" x14ac:dyDescent="0.35">
      <c r="A341" s="1">
        <v>43904</v>
      </c>
      <c r="B341">
        <v>4932</v>
      </c>
      <c r="C341" t="s">
        <v>15</v>
      </c>
      <c r="D341">
        <v>213</v>
      </c>
      <c r="E341">
        <v>3.72</v>
      </c>
      <c r="F341">
        <v>0</v>
      </c>
      <c r="G341" t="s">
        <v>40</v>
      </c>
      <c r="H341" t="s">
        <v>38</v>
      </c>
      <c r="I341" t="s">
        <v>18</v>
      </c>
      <c r="J341" t="s">
        <v>29</v>
      </c>
      <c r="K341">
        <v>6</v>
      </c>
      <c r="L341">
        <v>0</v>
      </c>
      <c r="M341" s="2">
        <f t="shared" si="5"/>
        <v>792.36</v>
      </c>
      <c r="N341" s="2" t="str">
        <f>IF(Tabla1[[#This Row],[Aprobación_Veterinaria]]=1,"APROBADO","NO APROBADO")</f>
        <v>NO APROBADO</v>
      </c>
      <c r="O341" t="str">
        <f>IF(Tabla1[[#This Row],[Repite compra?]]=1,"REPITE","NO REPITE")</f>
        <v>NO REPITE</v>
      </c>
      <c r="P341" t="str">
        <f>IF(Tabla1[[#This Row],[rating_segun encuesta a Consumidor]]&lt;5,"Regular",IF(Tabla1[[#This Row],[rating_segun encuesta a Consumidor]]&gt;8,"Excelente","Bueno"))</f>
        <v>Bueno</v>
      </c>
    </row>
    <row r="342" spans="1:16" x14ac:dyDescent="0.35">
      <c r="A342" s="1">
        <v>44088</v>
      </c>
      <c r="B342">
        <v>4814</v>
      </c>
      <c r="C342" t="s">
        <v>20</v>
      </c>
      <c r="D342">
        <v>86</v>
      </c>
      <c r="E342">
        <v>151.88400000000001</v>
      </c>
      <c r="F342">
        <v>1</v>
      </c>
      <c r="G342" t="s">
        <v>16</v>
      </c>
      <c r="H342" t="s">
        <v>54</v>
      </c>
      <c r="I342" t="s">
        <v>18</v>
      </c>
      <c r="J342" t="s">
        <v>29</v>
      </c>
      <c r="K342">
        <v>2</v>
      </c>
      <c r="L342">
        <v>1</v>
      </c>
      <c r="M342" s="2">
        <f t="shared" si="5"/>
        <v>13062.024000000001</v>
      </c>
      <c r="N342" s="2" t="str">
        <f>IF(Tabla1[[#This Row],[Aprobación_Veterinaria]]=1,"APROBADO","NO APROBADO")</f>
        <v>APROBADO</v>
      </c>
      <c r="O342" t="str">
        <f>IF(Tabla1[[#This Row],[Repite compra?]]=1,"REPITE","NO REPITE")</f>
        <v>REPITE</v>
      </c>
      <c r="P342" t="str">
        <f>IF(Tabla1[[#This Row],[rating_segun encuesta a Consumidor]]&lt;5,"Regular",IF(Tabla1[[#This Row],[rating_segun encuesta a Consumidor]]&gt;8,"Excelente","Bueno"))</f>
        <v>Regular</v>
      </c>
    </row>
    <row r="343" spans="1:16" x14ac:dyDescent="0.35">
      <c r="A343" s="1">
        <v>44129</v>
      </c>
      <c r="B343">
        <v>4416</v>
      </c>
      <c r="C343" t="s">
        <v>51</v>
      </c>
      <c r="D343">
        <v>124</v>
      </c>
      <c r="E343">
        <v>118.536</v>
      </c>
      <c r="F343">
        <v>0</v>
      </c>
      <c r="G343" t="s">
        <v>21</v>
      </c>
      <c r="H343" t="s">
        <v>22</v>
      </c>
      <c r="I343" t="s">
        <v>45</v>
      </c>
      <c r="J343" t="s">
        <v>29</v>
      </c>
      <c r="K343">
        <v>5</v>
      </c>
      <c r="L343">
        <v>0</v>
      </c>
      <c r="M343" s="2">
        <f t="shared" si="5"/>
        <v>14698.464</v>
      </c>
      <c r="N343" s="2" t="str">
        <f>IF(Tabla1[[#This Row],[Aprobación_Veterinaria]]=1,"APROBADO","NO APROBADO")</f>
        <v>NO APROBADO</v>
      </c>
      <c r="O343" t="str">
        <f>IF(Tabla1[[#This Row],[Repite compra?]]=1,"REPITE","NO REPITE")</f>
        <v>NO REPITE</v>
      </c>
      <c r="P343" t="str">
        <f>IF(Tabla1[[#This Row],[rating_segun encuesta a Consumidor]]&lt;5,"Regular",IF(Tabla1[[#This Row],[rating_segun encuesta a Consumidor]]&gt;8,"Excelente","Bueno"))</f>
        <v>Bueno</v>
      </c>
    </row>
    <row r="344" spans="1:16" x14ac:dyDescent="0.35">
      <c r="A344" s="1">
        <v>44192</v>
      </c>
      <c r="B344">
        <v>4288</v>
      </c>
      <c r="C344" t="s">
        <v>15</v>
      </c>
      <c r="D344">
        <v>86</v>
      </c>
      <c r="E344">
        <v>163.82400000000001</v>
      </c>
      <c r="F344">
        <v>1</v>
      </c>
      <c r="G344" t="s">
        <v>24</v>
      </c>
      <c r="H344" t="s">
        <v>22</v>
      </c>
      <c r="I344" t="s">
        <v>41</v>
      </c>
      <c r="J344" t="s">
        <v>53</v>
      </c>
      <c r="K344">
        <v>8</v>
      </c>
      <c r="L344">
        <v>1</v>
      </c>
      <c r="M344" s="2">
        <f t="shared" si="5"/>
        <v>14088.864000000001</v>
      </c>
      <c r="N344" s="2" t="str">
        <f>IF(Tabla1[[#This Row],[Aprobación_Veterinaria]]=1,"APROBADO","NO APROBADO")</f>
        <v>APROBADO</v>
      </c>
      <c r="O344" t="str">
        <f>IF(Tabla1[[#This Row],[Repite compra?]]=1,"REPITE","NO REPITE")</f>
        <v>REPITE</v>
      </c>
      <c r="P344" t="str">
        <f>IF(Tabla1[[#This Row],[rating_segun encuesta a Consumidor]]&lt;5,"Regular",IF(Tabla1[[#This Row],[rating_segun encuesta a Consumidor]]&gt;8,"Excelente","Bueno"))</f>
        <v>Bueno</v>
      </c>
    </row>
    <row r="345" spans="1:16" x14ac:dyDescent="0.35">
      <c r="A345" s="1">
        <v>43935</v>
      </c>
      <c r="B345">
        <v>4174</v>
      </c>
      <c r="C345" t="s">
        <v>51</v>
      </c>
      <c r="D345">
        <v>211</v>
      </c>
      <c r="E345">
        <v>96.251999999999995</v>
      </c>
      <c r="F345">
        <v>1</v>
      </c>
      <c r="G345" t="s">
        <v>27</v>
      </c>
      <c r="H345" t="s">
        <v>22</v>
      </c>
      <c r="I345" t="s">
        <v>28</v>
      </c>
      <c r="J345" t="s">
        <v>53</v>
      </c>
      <c r="K345">
        <v>4</v>
      </c>
      <c r="L345">
        <v>1</v>
      </c>
      <c r="M345" s="2">
        <f t="shared" si="5"/>
        <v>20309.171999999999</v>
      </c>
      <c r="N345" s="2" t="str">
        <f>IF(Tabla1[[#This Row],[Aprobación_Veterinaria]]=1,"APROBADO","NO APROBADO")</f>
        <v>APROBADO</v>
      </c>
      <c r="O345" t="str">
        <f>IF(Tabla1[[#This Row],[Repite compra?]]=1,"REPITE","NO REPITE")</f>
        <v>REPITE</v>
      </c>
      <c r="P345" t="str">
        <f>IF(Tabla1[[#This Row],[rating_segun encuesta a Consumidor]]&lt;5,"Regular",IF(Tabla1[[#This Row],[rating_segun encuesta a Consumidor]]&gt;8,"Excelente","Bueno"))</f>
        <v>Regular</v>
      </c>
    </row>
    <row r="346" spans="1:16" x14ac:dyDescent="0.35">
      <c r="A346" s="1">
        <v>43912</v>
      </c>
      <c r="B346">
        <v>4888</v>
      </c>
      <c r="C346" t="s">
        <v>26</v>
      </c>
      <c r="D346">
        <v>142</v>
      </c>
      <c r="E346">
        <v>84.048000000000002</v>
      </c>
      <c r="F346">
        <v>0</v>
      </c>
      <c r="G346" t="s">
        <v>31</v>
      </c>
      <c r="H346" t="s">
        <v>50</v>
      </c>
      <c r="I346" t="s">
        <v>18</v>
      </c>
      <c r="J346" t="s">
        <v>29</v>
      </c>
      <c r="K346">
        <v>6</v>
      </c>
      <c r="L346">
        <v>0</v>
      </c>
      <c r="M346" s="2">
        <f t="shared" si="5"/>
        <v>11934.816000000001</v>
      </c>
      <c r="N346" s="2" t="str">
        <f>IF(Tabla1[[#This Row],[Aprobación_Veterinaria]]=1,"APROBADO","NO APROBADO")</f>
        <v>NO APROBADO</v>
      </c>
      <c r="O346" t="str">
        <f>IF(Tabla1[[#This Row],[Repite compra?]]=1,"REPITE","NO REPITE")</f>
        <v>NO REPITE</v>
      </c>
      <c r="P346" t="str">
        <f>IF(Tabla1[[#This Row],[rating_segun encuesta a Consumidor]]&lt;5,"Regular",IF(Tabla1[[#This Row],[rating_segun encuesta a Consumidor]]&gt;8,"Excelente","Bueno"))</f>
        <v>Bueno</v>
      </c>
    </row>
    <row r="347" spans="1:16" x14ac:dyDescent="0.35">
      <c r="A347" s="1">
        <v>43907</v>
      </c>
      <c r="B347">
        <v>4645</v>
      </c>
      <c r="C347" t="s">
        <v>39</v>
      </c>
      <c r="D347">
        <v>201</v>
      </c>
      <c r="E347">
        <v>97.272000000000006</v>
      </c>
      <c r="F347">
        <v>1</v>
      </c>
      <c r="G347" t="s">
        <v>33</v>
      </c>
      <c r="H347" t="s">
        <v>22</v>
      </c>
      <c r="I347" t="s">
        <v>35</v>
      </c>
      <c r="J347" t="s">
        <v>23</v>
      </c>
      <c r="K347">
        <v>10</v>
      </c>
      <c r="L347">
        <v>0</v>
      </c>
      <c r="M347" s="2">
        <f t="shared" si="5"/>
        <v>19551.672000000002</v>
      </c>
      <c r="N347" s="2" t="str">
        <f>IF(Tabla1[[#This Row],[Aprobación_Veterinaria]]=1,"APROBADO","NO APROBADO")</f>
        <v>APROBADO</v>
      </c>
      <c r="O347" t="str">
        <f>IF(Tabla1[[#This Row],[Repite compra?]]=1,"REPITE","NO REPITE")</f>
        <v>NO REPITE</v>
      </c>
      <c r="P347" t="str">
        <f>IF(Tabla1[[#This Row],[rating_segun encuesta a Consumidor]]&lt;5,"Regular",IF(Tabla1[[#This Row],[rating_segun encuesta a Consumidor]]&gt;8,"Excelente","Bueno"))</f>
        <v>Excelente</v>
      </c>
    </row>
    <row r="348" spans="1:16" x14ac:dyDescent="0.35">
      <c r="A348" s="1">
        <v>44151</v>
      </c>
      <c r="B348">
        <v>5035</v>
      </c>
      <c r="C348" t="s">
        <v>26</v>
      </c>
      <c r="D348">
        <v>198</v>
      </c>
      <c r="E348">
        <v>87.036000000000001</v>
      </c>
      <c r="F348">
        <v>0</v>
      </c>
      <c r="G348" t="s">
        <v>34</v>
      </c>
      <c r="H348" t="s">
        <v>52</v>
      </c>
      <c r="I348" t="s">
        <v>41</v>
      </c>
      <c r="J348" t="s">
        <v>49</v>
      </c>
      <c r="K348">
        <v>7</v>
      </c>
      <c r="L348">
        <v>1</v>
      </c>
      <c r="M348" s="2">
        <f t="shared" si="5"/>
        <v>17233.128000000001</v>
      </c>
      <c r="N348" s="2" t="str">
        <f>IF(Tabla1[[#This Row],[Aprobación_Veterinaria]]=1,"APROBADO","NO APROBADO")</f>
        <v>NO APROBADO</v>
      </c>
      <c r="O348" t="str">
        <f>IF(Tabla1[[#This Row],[Repite compra?]]=1,"REPITE","NO REPITE")</f>
        <v>REPITE</v>
      </c>
      <c r="P348" t="str">
        <f>IF(Tabla1[[#This Row],[rating_segun encuesta a Consumidor]]&lt;5,"Regular",IF(Tabla1[[#This Row],[rating_segun encuesta a Consumidor]]&gt;8,"Excelente","Bueno"))</f>
        <v>Bueno</v>
      </c>
    </row>
    <row r="349" spans="1:16" x14ac:dyDescent="0.35">
      <c r="A349" s="1">
        <v>44078</v>
      </c>
      <c r="B349">
        <v>4435</v>
      </c>
      <c r="C349" t="s">
        <v>20</v>
      </c>
      <c r="D349">
        <v>34</v>
      </c>
      <c r="E349">
        <v>82.26</v>
      </c>
      <c r="F349">
        <v>0</v>
      </c>
      <c r="G349" t="s">
        <v>36</v>
      </c>
      <c r="H349" t="s">
        <v>22</v>
      </c>
      <c r="I349" t="s">
        <v>35</v>
      </c>
      <c r="J349" t="s">
        <v>23</v>
      </c>
      <c r="K349">
        <v>4</v>
      </c>
      <c r="L349">
        <v>0</v>
      </c>
      <c r="M349" s="2">
        <f t="shared" si="5"/>
        <v>2796.84</v>
      </c>
      <c r="N349" s="2" t="str">
        <f>IF(Tabla1[[#This Row],[Aprobación_Veterinaria]]=1,"APROBADO","NO APROBADO")</f>
        <v>NO APROBADO</v>
      </c>
      <c r="O349" t="str">
        <f>IF(Tabla1[[#This Row],[Repite compra?]]=1,"REPITE","NO REPITE")</f>
        <v>NO REPITE</v>
      </c>
      <c r="P349" t="str">
        <f>IF(Tabla1[[#This Row],[rating_segun encuesta a Consumidor]]&lt;5,"Regular",IF(Tabla1[[#This Row],[rating_segun encuesta a Consumidor]]&gt;8,"Excelente","Bueno"))</f>
        <v>Regular</v>
      </c>
    </row>
    <row r="350" spans="1:16" x14ac:dyDescent="0.35">
      <c r="A350" s="1">
        <v>44078</v>
      </c>
      <c r="B350">
        <v>4374</v>
      </c>
      <c r="C350" t="s">
        <v>43</v>
      </c>
      <c r="D350">
        <v>132</v>
      </c>
      <c r="E350">
        <v>149.892</v>
      </c>
      <c r="F350">
        <v>1</v>
      </c>
      <c r="G350" t="s">
        <v>37</v>
      </c>
      <c r="H350" t="s">
        <v>22</v>
      </c>
      <c r="I350" t="s">
        <v>28</v>
      </c>
      <c r="J350" t="s">
        <v>29</v>
      </c>
      <c r="K350">
        <v>8</v>
      </c>
      <c r="L350">
        <v>0</v>
      </c>
      <c r="M350" s="2">
        <f t="shared" si="5"/>
        <v>19785.743999999999</v>
      </c>
      <c r="N350" s="2" t="str">
        <f>IF(Tabla1[[#This Row],[Aprobación_Veterinaria]]=1,"APROBADO","NO APROBADO")</f>
        <v>APROBADO</v>
      </c>
      <c r="O350" t="str">
        <f>IF(Tabla1[[#This Row],[Repite compra?]]=1,"REPITE","NO REPITE")</f>
        <v>NO REPITE</v>
      </c>
      <c r="P350" t="str">
        <f>IF(Tabla1[[#This Row],[rating_segun encuesta a Consumidor]]&lt;5,"Regular",IF(Tabla1[[#This Row],[rating_segun encuesta a Consumidor]]&gt;8,"Excelente","Bueno"))</f>
        <v>Bueno</v>
      </c>
    </row>
    <row r="351" spans="1:16" x14ac:dyDescent="0.35">
      <c r="A351" s="1">
        <v>44180</v>
      </c>
      <c r="B351">
        <v>4463</v>
      </c>
      <c r="C351" t="s">
        <v>26</v>
      </c>
      <c r="D351">
        <v>18</v>
      </c>
      <c r="E351">
        <v>60.396000000000001</v>
      </c>
      <c r="F351">
        <v>0</v>
      </c>
      <c r="G351" t="s">
        <v>40</v>
      </c>
      <c r="H351" t="s">
        <v>22</v>
      </c>
      <c r="I351" t="s">
        <v>41</v>
      </c>
      <c r="J351" t="s">
        <v>23</v>
      </c>
      <c r="K351">
        <v>1</v>
      </c>
      <c r="L351">
        <v>0</v>
      </c>
      <c r="M351" s="2">
        <f t="shared" si="5"/>
        <v>1087.1279999999999</v>
      </c>
      <c r="N351" s="2" t="str">
        <f>IF(Tabla1[[#This Row],[Aprobación_Veterinaria]]=1,"APROBADO","NO APROBADO")</f>
        <v>NO APROBADO</v>
      </c>
      <c r="O351" t="str">
        <f>IF(Tabla1[[#This Row],[Repite compra?]]=1,"REPITE","NO REPITE")</f>
        <v>NO REPITE</v>
      </c>
      <c r="P351" t="str">
        <f>IF(Tabla1[[#This Row],[rating_segun encuesta a Consumidor]]&lt;5,"Regular",IF(Tabla1[[#This Row],[rating_segun encuesta a Consumidor]]&gt;8,"Excelente","Bueno"))</f>
        <v>Regular</v>
      </c>
    </row>
    <row r="352" spans="1:16" x14ac:dyDescent="0.35">
      <c r="A352" s="1">
        <v>43931</v>
      </c>
      <c r="B352">
        <v>4230</v>
      </c>
      <c r="C352" t="s">
        <v>47</v>
      </c>
      <c r="D352">
        <v>151</v>
      </c>
      <c r="E352">
        <v>169.77600000000001</v>
      </c>
      <c r="F352">
        <v>0</v>
      </c>
      <c r="G352" t="s">
        <v>16</v>
      </c>
      <c r="H352" t="s">
        <v>22</v>
      </c>
      <c r="I352" t="s">
        <v>35</v>
      </c>
      <c r="J352" t="s">
        <v>49</v>
      </c>
      <c r="K352">
        <v>4</v>
      </c>
      <c r="L352">
        <v>0</v>
      </c>
      <c r="M352" s="2">
        <f t="shared" si="5"/>
        <v>25636.176000000003</v>
      </c>
      <c r="N352" s="2" t="str">
        <f>IF(Tabla1[[#This Row],[Aprobación_Veterinaria]]=1,"APROBADO","NO APROBADO")</f>
        <v>NO APROBADO</v>
      </c>
      <c r="O352" t="str">
        <f>IF(Tabla1[[#This Row],[Repite compra?]]=1,"REPITE","NO REPITE")</f>
        <v>NO REPITE</v>
      </c>
      <c r="P352" t="str">
        <f>IF(Tabla1[[#This Row],[rating_segun encuesta a Consumidor]]&lt;5,"Regular",IF(Tabla1[[#This Row],[rating_segun encuesta a Consumidor]]&gt;8,"Excelente","Bueno"))</f>
        <v>Regular</v>
      </c>
    </row>
    <row r="353" spans="1:16" x14ac:dyDescent="0.35">
      <c r="A353" s="1">
        <v>43968</v>
      </c>
      <c r="B353">
        <v>4726</v>
      </c>
      <c r="C353" t="s">
        <v>39</v>
      </c>
      <c r="D353">
        <v>171</v>
      </c>
      <c r="E353">
        <v>45.335999999999999</v>
      </c>
      <c r="F353">
        <v>1</v>
      </c>
      <c r="G353" t="s">
        <v>21</v>
      </c>
      <c r="H353" t="s">
        <v>48</v>
      </c>
      <c r="I353" t="s">
        <v>18</v>
      </c>
      <c r="J353" t="s">
        <v>29</v>
      </c>
      <c r="K353">
        <v>10</v>
      </c>
      <c r="L353">
        <v>1</v>
      </c>
      <c r="M353" s="2">
        <f t="shared" si="5"/>
        <v>7752.4560000000001</v>
      </c>
      <c r="N353" s="2" t="str">
        <f>IF(Tabla1[[#This Row],[Aprobación_Veterinaria]]=1,"APROBADO","NO APROBADO")</f>
        <v>APROBADO</v>
      </c>
      <c r="O353" t="str">
        <f>IF(Tabla1[[#This Row],[Repite compra?]]=1,"REPITE","NO REPITE")</f>
        <v>REPITE</v>
      </c>
      <c r="P353" t="str">
        <f>IF(Tabla1[[#This Row],[rating_segun encuesta a Consumidor]]&lt;5,"Regular",IF(Tabla1[[#This Row],[rating_segun encuesta a Consumidor]]&gt;8,"Excelente","Bueno"))</f>
        <v>Excelente</v>
      </c>
    </row>
    <row r="354" spans="1:16" x14ac:dyDescent="0.35">
      <c r="A354" s="1">
        <v>44053</v>
      </c>
      <c r="B354">
        <v>4593</v>
      </c>
      <c r="C354" t="s">
        <v>47</v>
      </c>
      <c r="D354">
        <v>179</v>
      </c>
      <c r="E354">
        <v>75.216000000000008</v>
      </c>
      <c r="F354">
        <v>1</v>
      </c>
      <c r="G354" t="s">
        <v>24</v>
      </c>
      <c r="H354" t="s">
        <v>22</v>
      </c>
      <c r="I354" t="s">
        <v>41</v>
      </c>
      <c r="J354" t="s">
        <v>23</v>
      </c>
      <c r="K354">
        <v>10</v>
      </c>
      <c r="L354">
        <v>0</v>
      </c>
      <c r="M354" s="2">
        <f t="shared" si="5"/>
        <v>13463.664000000001</v>
      </c>
      <c r="N354" s="2" t="str">
        <f>IF(Tabla1[[#This Row],[Aprobación_Veterinaria]]=1,"APROBADO","NO APROBADO")</f>
        <v>APROBADO</v>
      </c>
      <c r="O354" t="str">
        <f>IF(Tabla1[[#This Row],[Repite compra?]]=1,"REPITE","NO REPITE")</f>
        <v>NO REPITE</v>
      </c>
      <c r="P354" t="str">
        <f>IF(Tabla1[[#This Row],[rating_segun encuesta a Consumidor]]&lt;5,"Regular",IF(Tabla1[[#This Row],[rating_segun encuesta a Consumidor]]&gt;8,"Excelente","Bueno"))</f>
        <v>Excelente</v>
      </c>
    </row>
    <row r="355" spans="1:16" x14ac:dyDescent="0.35">
      <c r="A355" s="1">
        <v>44149</v>
      </c>
      <c r="B355">
        <v>4177</v>
      </c>
      <c r="C355" t="s">
        <v>26</v>
      </c>
      <c r="D355">
        <v>71</v>
      </c>
      <c r="E355">
        <v>153.31200000000001</v>
      </c>
      <c r="F355">
        <v>0</v>
      </c>
      <c r="G355" t="s">
        <v>27</v>
      </c>
      <c r="H355" t="s">
        <v>22</v>
      </c>
      <c r="I355" t="s">
        <v>18</v>
      </c>
      <c r="J355" t="s">
        <v>25</v>
      </c>
      <c r="K355">
        <v>9</v>
      </c>
      <c r="L355">
        <v>0</v>
      </c>
      <c r="M355" s="2">
        <f t="shared" si="5"/>
        <v>10885.152</v>
      </c>
      <c r="N355" s="2" t="str">
        <f>IF(Tabla1[[#This Row],[Aprobación_Veterinaria]]=1,"APROBADO","NO APROBADO")</f>
        <v>NO APROBADO</v>
      </c>
      <c r="O355" t="str">
        <f>IF(Tabla1[[#This Row],[Repite compra?]]=1,"REPITE","NO REPITE")</f>
        <v>NO REPITE</v>
      </c>
      <c r="P355" t="str">
        <f>IF(Tabla1[[#This Row],[rating_segun encuesta a Consumidor]]&lt;5,"Regular",IF(Tabla1[[#This Row],[rating_segun encuesta a Consumidor]]&gt;8,"Excelente","Bueno"))</f>
        <v>Excelente</v>
      </c>
    </row>
    <row r="356" spans="1:16" x14ac:dyDescent="0.35">
      <c r="A356" s="1">
        <v>43865</v>
      </c>
      <c r="B356">
        <v>4334</v>
      </c>
      <c r="C356" t="s">
        <v>32</v>
      </c>
      <c r="D356">
        <v>187</v>
      </c>
      <c r="E356">
        <v>215.34</v>
      </c>
      <c r="F356">
        <v>1</v>
      </c>
      <c r="G356" t="s">
        <v>31</v>
      </c>
      <c r="H356" t="s">
        <v>22</v>
      </c>
      <c r="I356" t="s">
        <v>28</v>
      </c>
      <c r="J356" t="s">
        <v>29</v>
      </c>
      <c r="K356">
        <v>3</v>
      </c>
      <c r="L356">
        <v>1</v>
      </c>
      <c r="M356" s="2">
        <f t="shared" si="5"/>
        <v>40268.58</v>
      </c>
      <c r="N356" s="2" t="str">
        <f>IF(Tabla1[[#This Row],[Aprobación_Veterinaria]]=1,"APROBADO","NO APROBADO")</f>
        <v>APROBADO</v>
      </c>
      <c r="O356" t="str">
        <f>IF(Tabla1[[#This Row],[Repite compra?]]=1,"REPITE","NO REPITE")</f>
        <v>REPITE</v>
      </c>
      <c r="P356" t="str">
        <f>IF(Tabla1[[#This Row],[rating_segun encuesta a Consumidor]]&lt;5,"Regular",IF(Tabla1[[#This Row],[rating_segun encuesta a Consumidor]]&gt;8,"Excelente","Bueno"))</f>
        <v>Regular</v>
      </c>
    </row>
    <row r="357" spans="1:16" x14ac:dyDescent="0.35">
      <c r="A357" s="1">
        <v>43944</v>
      </c>
      <c r="B357">
        <v>5023</v>
      </c>
      <c r="C357" t="s">
        <v>26</v>
      </c>
      <c r="D357">
        <v>160</v>
      </c>
      <c r="E357">
        <v>190.464</v>
      </c>
      <c r="F357">
        <v>1</v>
      </c>
      <c r="G357" t="s">
        <v>33</v>
      </c>
      <c r="H357" t="s">
        <v>50</v>
      </c>
      <c r="I357" t="s">
        <v>41</v>
      </c>
      <c r="J357" t="s">
        <v>49</v>
      </c>
      <c r="K357">
        <v>6</v>
      </c>
      <c r="L357">
        <v>1</v>
      </c>
      <c r="M357" s="2">
        <f t="shared" si="5"/>
        <v>30474.239999999998</v>
      </c>
      <c r="N357" s="2" t="str">
        <f>IF(Tabla1[[#This Row],[Aprobación_Veterinaria]]=1,"APROBADO","NO APROBADO")</f>
        <v>APROBADO</v>
      </c>
      <c r="O357" t="str">
        <f>IF(Tabla1[[#This Row],[Repite compra?]]=1,"REPITE","NO REPITE")</f>
        <v>REPITE</v>
      </c>
      <c r="P357" t="str">
        <f>IF(Tabla1[[#This Row],[rating_segun encuesta a Consumidor]]&lt;5,"Regular",IF(Tabla1[[#This Row],[rating_segun encuesta a Consumidor]]&gt;8,"Excelente","Bueno"))</f>
        <v>Bueno</v>
      </c>
    </row>
    <row r="358" spans="1:16" x14ac:dyDescent="0.35">
      <c r="A358" s="1">
        <v>44061</v>
      </c>
      <c r="B358">
        <v>4638</v>
      </c>
      <c r="C358" t="s">
        <v>43</v>
      </c>
      <c r="D358">
        <v>148</v>
      </c>
      <c r="E358">
        <v>58.776000000000003</v>
      </c>
      <c r="F358">
        <v>0</v>
      </c>
      <c r="G358" t="s">
        <v>34</v>
      </c>
      <c r="H358" t="s">
        <v>22</v>
      </c>
      <c r="I358" t="s">
        <v>41</v>
      </c>
      <c r="J358" t="s">
        <v>29</v>
      </c>
      <c r="K358">
        <v>10</v>
      </c>
      <c r="L358">
        <v>0</v>
      </c>
      <c r="M358" s="2">
        <f t="shared" si="5"/>
        <v>8698.848</v>
      </c>
      <c r="N358" s="2" t="str">
        <f>IF(Tabla1[[#This Row],[Aprobación_Veterinaria]]=1,"APROBADO","NO APROBADO")</f>
        <v>NO APROBADO</v>
      </c>
      <c r="O358" t="str">
        <f>IF(Tabla1[[#This Row],[Repite compra?]]=1,"REPITE","NO REPITE")</f>
        <v>NO REPITE</v>
      </c>
      <c r="P358" t="str">
        <f>IF(Tabla1[[#This Row],[rating_segun encuesta a Consumidor]]&lt;5,"Regular",IF(Tabla1[[#This Row],[rating_segun encuesta a Consumidor]]&gt;8,"Excelente","Bueno"))</f>
        <v>Excelente</v>
      </c>
    </row>
    <row r="359" spans="1:16" x14ac:dyDescent="0.35">
      <c r="A359" s="1">
        <v>44070</v>
      </c>
      <c r="B359">
        <v>4845</v>
      </c>
      <c r="C359" t="s">
        <v>15</v>
      </c>
      <c r="D359">
        <v>109</v>
      </c>
      <c r="E359">
        <v>111.756</v>
      </c>
      <c r="F359">
        <v>1</v>
      </c>
      <c r="G359" t="s">
        <v>36</v>
      </c>
      <c r="H359" t="s">
        <v>44</v>
      </c>
      <c r="I359" t="s">
        <v>41</v>
      </c>
      <c r="J359" t="s">
        <v>23</v>
      </c>
      <c r="K359">
        <v>1</v>
      </c>
      <c r="L359">
        <v>1</v>
      </c>
      <c r="M359" s="2">
        <f t="shared" si="5"/>
        <v>12181.404</v>
      </c>
      <c r="N359" s="2" t="str">
        <f>IF(Tabla1[[#This Row],[Aprobación_Veterinaria]]=1,"APROBADO","NO APROBADO")</f>
        <v>APROBADO</v>
      </c>
      <c r="O359" t="str">
        <f>IF(Tabla1[[#This Row],[Repite compra?]]=1,"REPITE","NO REPITE")</f>
        <v>REPITE</v>
      </c>
      <c r="P359" t="str">
        <f>IF(Tabla1[[#This Row],[rating_segun encuesta a Consumidor]]&lt;5,"Regular",IF(Tabla1[[#This Row],[rating_segun encuesta a Consumidor]]&gt;8,"Excelente","Bueno"))</f>
        <v>Regular</v>
      </c>
    </row>
    <row r="360" spans="1:16" x14ac:dyDescent="0.35">
      <c r="A360" s="1">
        <v>44032</v>
      </c>
      <c r="B360">
        <v>4442</v>
      </c>
      <c r="C360" t="s">
        <v>15</v>
      </c>
      <c r="D360">
        <v>150</v>
      </c>
      <c r="E360">
        <v>101.244</v>
      </c>
      <c r="F360">
        <v>1</v>
      </c>
      <c r="G360" t="s">
        <v>37</v>
      </c>
      <c r="H360" t="s">
        <v>22</v>
      </c>
      <c r="I360" t="s">
        <v>18</v>
      </c>
      <c r="J360" t="s">
        <v>29</v>
      </c>
      <c r="K360">
        <v>4</v>
      </c>
      <c r="L360">
        <v>0</v>
      </c>
      <c r="M360" s="2">
        <f t="shared" si="5"/>
        <v>15186.6</v>
      </c>
      <c r="N360" s="2" t="str">
        <f>IF(Tabla1[[#This Row],[Aprobación_Veterinaria]]=1,"APROBADO","NO APROBADO")</f>
        <v>APROBADO</v>
      </c>
      <c r="O360" t="str">
        <f>IF(Tabla1[[#This Row],[Repite compra?]]=1,"REPITE","NO REPITE")</f>
        <v>NO REPITE</v>
      </c>
      <c r="P360" t="str">
        <f>IF(Tabla1[[#This Row],[rating_segun encuesta a Consumidor]]&lt;5,"Regular",IF(Tabla1[[#This Row],[rating_segun encuesta a Consumidor]]&gt;8,"Excelente","Bueno"))</f>
        <v>Regular</v>
      </c>
    </row>
    <row r="361" spans="1:16" x14ac:dyDescent="0.35">
      <c r="A361" s="1">
        <v>43925</v>
      </c>
      <c r="B361">
        <v>4292</v>
      </c>
      <c r="C361" t="s">
        <v>20</v>
      </c>
      <c r="D361">
        <v>111</v>
      </c>
      <c r="E361">
        <v>196.03200000000001</v>
      </c>
      <c r="F361">
        <v>1</v>
      </c>
      <c r="G361" t="s">
        <v>40</v>
      </c>
      <c r="H361" t="s">
        <v>22</v>
      </c>
      <c r="I361" t="s">
        <v>18</v>
      </c>
      <c r="J361" t="s">
        <v>29</v>
      </c>
      <c r="K361">
        <v>3</v>
      </c>
      <c r="L361">
        <v>0</v>
      </c>
      <c r="M361" s="2">
        <f t="shared" si="5"/>
        <v>21759.552</v>
      </c>
      <c r="N361" s="2" t="str">
        <f>IF(Tabla1[[#This Row],[Aprobación_Veterinaria]]=1,"APROBADO","NO APROBADO")</f>
        <v>APROBADO</v>
      </c>
      <c r="O361" t="str">
        <f>IF(Tabla1[[#This Row],[Repite compra?]]=1,"REPITE","NO REPITE")</f>
        <v>NO REPITE</v>
      </c>
      <c r="P361" t="str">
        <f>IF(Tabla1[[#This Row],[rating_segun encuesta a Consumidor]]&lt;5,"Regular",IF(Tabla1[[#This Row],[rating_segun encuesta a Consumidor]]&gt;8,"Excelente","Bueno"))</f>
        <v>Regular</v>
      </c>
    </row>
    <row r="362" spans="1:16" x14ac:dyDescent="0.35">
      <c r="A362" s="1">
        <v>43885</v>
      </c>
      <c r="B362">
        <v>5044</v>
      </c>
      <c r="C362" t="s">
        <v>26</v>
      </c>
      <c r="D362">
        <v>144</v>
      </c>
      <c r="E362">
        <v>186.40800000000002</v>
      </c>
      <c r="F362">
        <v>1</v>
      </c>
      <c r="G362" t="s">
        <v>16</v>
      </c>
      <c r="H362" t="s">
        <v>17</v>
      </c>
      <c r="I362" t="s">
        <v>18</v>
      </c>
      <c r="J362" t="s">
        <v>19</v>
      </c>
      <c r="K362">
        <v>7</v>
      </c>
      <c r="L362">
        <v>1</v>
      </c>
      <c r="M362" s="2">
        <f t="shared" si="5"/>
        <v>26842.752</v>
      </c>
      <c r="N362" s="2" t="str">
        <f>IF(Tabla1[[#This Row],[Aprobación_Veterinaria]]=1,"APROBADO","NO APROBADO")</f>
        <v>APROBADO</v>
      </c>
      <c r="O362" t="str">
        <f>IF(Tabla1[[#This Row],[Repite compra?]]=1,"REPITE","NO REPITE")</f>
        <v>REPITE</v>
      </c>
      <c r="P362" t="str">
        <f>IF(Tabla1[[#This Row],[rating_segun encuesta a Consumidor]]&lt;5,"Regular",IF(Tabla1[[#This Row],[rating_segun encuesta a Consumidor]]&gt;8,"Excelente","Bueno"))</f>
        <v>Bueno</v>
      </c>
    </row>
    <row r="363" spans="1:16" x14ac:dyDescent="0.35">
      <c r="A363" s="1">
        <v>43831</v>
      </c>
      <c r="B363">
        <v>4227</v>
      </c>
      <c r="C363" t="s">
        <v>39</v>
      </c>
      <c r="D363">
        <v>81</v>
      </c>
      <c r="E363">
        <v>174.696</v>
      </c>
      <c r="F363">
        <v>0</v>
      </c>
      <c r="G363" t="s">
        <v>21</v>
      </c>
      <c r="H363" t="s">
        <v>22</v>
      </c>
      <c r="I363" t="s">
        <v>18</v>
      </c>
      <c r="J363" t="s">
        <v>23</v>
      </c>
      <c r="K363">
        <v>7</v>
      </c>
      <c r="L363">
        <v>0</v>
      </c>
      <c r="M363" s="2">
        <f t="shared" si="5"/>
        <v>14150.376</v>
      </c>
      <c r="N363" s="2" t="str">
        <f>IF(Tabla1[[#This Row],[Aprobación_Veterinaria]]=1,"APROBADO","NO APROBADO")</f>
        <v>NO APROBADO</v>
      </c>
      <c r="O363" t="str">
        <f>IF(Tabla1[[#This Row],[Repite compra?]]=1,"REPITE","NO REPITE")</f>
        <v>NO REPITE</v>
      </c>
      <c r="P363" t="str">
        <f>IF(Tabla1[[#This Row],[rating_segun encuesta a Consumidor]]&lt;5,"Regular",IF(Tabla1[[#This Row],[rating_segun encuesta a Consumidor]]&gt;8,"Excelente","Bueno"))</f>
        <v>Bueno</v>
      </c>
    </row>
    <row r="364" spans="1:16" x14ac:dyDescent="0.35">
      <c r="A364" s="1">
        <v>43888</v>
      </c>
      <c r="B364">
        <v>4861</v>
      </c>
      <c r="C364" t="s">
        <v>26</v>
      </c>
      <c r="D364">
        <v>65</v>
      </c>
      <c r="E364">
        <v>14.604000000000001</v>
      </c>
      <c r="F364">
        <v>1</v>
      </c>
      <c r="G364" t="s">
        <v>24</v>
      </c>
      <c r="H364" t="s">
        <v>48</v>
      </c>
      <c r="I364" t="s">
        <v>41</v>
      </c>
      <c r="J364" t="s">
        <v>23</v>
      </c>
      <c r="K364">
        <v>1</v>
      </c>
      <c r="L364">
        <v>1</v>
      </c>
      <c r="M364" s="2">
        <f t="shared" si="5"/>
        <v>949.2600000000001</v>
      </c>
      <c r="N364" s="2" t="str">
        <f>IF(Tabla1[[#This Row],[Aprobación_Veterinaria]]=1,"APROBADO","NO APROBADO")</f>
        <v>APROBADO</v>
      </c>
      <c r="O364" t="str">
        <f>IF(Tabla1[[#This Row],[Repite compra?]]=1,"REPITE","NO REPITE")</f>
        <v>REPITE</v>
      </c>
      <c r="P364" t="str">
        <f>IF(Tabla1[[#This Row],[rating_segun encuesta a Consumidor]]&lt;5,"Regular",IF(Tabla1[[#This Row],[rating_segun encuesta a Consumidor]]&gt;8,"Excelente","Bueno"))</f>
        <v>Regular</v>
      </c>
    </row>
    <row r="365" spans="1:16" x14ac:dyDescent="0.35">
      <c r="A365" s="1">
        <v>43947</v>
      </c>
      <c r="B365">
        <v>4926</v>
      </c>
      <c r="C365" t="s">
        <v>15</v>
      </c>
      <c r="D365">
        <v>31</v>
      </c>
      <c r="E365">
        <v>225.54</v>
      </c>
      <c r="F365">
        <v>0</v>
      </c>
      <c r="G365" t="s">
        <v>27</v>
      </c>
      <c r="H365" t="s">
        <v>48</v>
      </c>
      <c r="I365" t="s">
        <v>18</v>
      </c>
      <c r="J365" t="s">
        <v>29</v>
      </c>
      <c r="K365">
        <v>6</v>
      </c>
      <c r="L365">
        <v>0</v>
      </c>
      <c r="M365" s="2">
        <f t="shared" si="5"/>
        <v>6991.74</v>
      </c>
      <c r="N365" s="2" t="str">
        <f>IF(Tabla1[[#This Row],[Aprobación_Veterinaria]]=1,"APROBADO","NO APROBADO")</f>
        <v>NO APROBADO</v>
      </c>
      <c r="O365" t="str">
        <f>IF(Tabla1[[#This Row],[Repite compra?]]=1,"REPITE","NO REPITE")</f>
        <v>NO REPITE</v>
      </c>
      <c r="P365" t="str">
        <f>IF(Tabla1[[#This Row],[rating_segun encuesta a Consumidor]]&lt;5,"Regular",IF(Tabla1[[#This Row],[rating_segun encuesta a Consumidor]]&gt;8,"Excelente","Bueno"))</f>
        <v>Bueno</v>
      </c>
    </row>
    <row r="366" spans="1:16" x14ac:dyDescent="0.35">
      <c r="A366" s="1">
        <v>43999</v>
      </c>
      <c r="B366">
        <v>4786</v>
      </c>
      <c r="C366" t="s">
        <v>26</v>
      </c>
      <c r="D366">
        <v>149</v>
      </c>
      <c r="E366">
        <v>81.372</v>
      </c>
      <c r="F366">
        <v>0</v>
      </c>
      <c r="G366" t="s">
        <v>31</v>
      </c>
      <c r="H366" t="s">
        <v>48</v>
      </c>
      <c r="I366" t="s">
        <v>18</v>
      </c>
      <c r="J366" t="s">
        <v>29</v>
      </c>
      <c r="K366">
        <v>7</v>
      </c>
      <c r="L366">
        <v>1</v>
      </c>
      <c r="M366" s="2">
        <f t="shared" si="5"/>
        <v>12124.428</v>
      </c>
      <c r="N366" s="2" t="str">
        <f>IF(Tabla1[[#This Row],[Aprobación_Veterinaria]]=1,"APROBADO","NO APROBADO")</f>
        <v>NO APROBADO</v>
      </c>
      <c r="O366" t="str">
        <f>IF(Tabla1[[#This Row],[Repite compra?]]=1,"REPITE","NO REPITE")</f>
        <v>REPITE</v>
      </c>
      <c r="P366" t="str">
        <f>IF(Tabla1[[#This Row],[rating_segun encuesta a Consumidor]]&lt;5,"Regular",IF(Tabla1[[#This Row],[rating_segun encuesta a Consumidor]]&gt;8,"Excelente","Bueno"))</f>
        <v>Bueno</v>
      </c>
    </row>
    <row r="367" spans="1:16" x14ac:dyDescent="0.35">
      <c r="A367" s="1">
        <v>43973</v>
      </c>
      <c r="B367">
        <v>4521</v>
      </c>
      <c r="C367" t="s">
        <v>32</v>
      </c>
      <c r="D367">
        <v>11</v>
      </c>
      <c r="E367">
        <v>129.792</v>
      </c>
      <c r="F367">
        <v>0</v>
      </c>
      <c r="G367" t="s">
        <v>33</v>
      </c>
      <c r="H367" t="s">
        <v>22</v>
      </c>
      <c r="I367" t="s">
        <v>45</v>
      </c>
      <c r="J367" t="s">
        <v>23</v>
      </c>
      <c r="K367">
        <v>6</v>
      </c>
      <c r="L367">
        <v>0</v>
      </c>
      <c r="M367" s="2">
        <f t="shared" si="5"/>
        <v>1427.712</v>
      </c>
      <c r="N367" s="2" t="str">
        <f>IF(Tabla1[[#This Row],[Aprobación_Veterinaria]]=1,"APROBADO","NO APROBADO")</f>
        <v>NO APROBADO</v>
      </c>
      <c r="O367" t="str">
        <f>IF(Tabla1[[#This Row],[Repite compra?]]=1,"REPITE","NO REPITE")</f>
        <v>NO REPITE</v>
      </c>
      <c r="P367" t="str">
        <f>IF(Tabla1[[#This Row],[rating_segun encuesta a Consumidor]]&lt;5,"Regular",IF(Tabla1[[#This Row],[rating_segun encuesta a Consumidor]]&gt;8,"Excelente","Bueno"))</f>
        <v>Bueno</v>
      </c>
    </row>
    <row r="368" spans="1:16" x14ac:dyDescent="0.35">
      <c r="A368" s="1">
        <v>44137</v>
      </c>
      <c r="B368">
        <v>4931</v>
      </c>
      <c r="C368" t="s">
        <v>20</v>
      </c>
      <c r="D368">
        <v>226</v>
      </c>
      <c r="E368">
        <v>23.82</v>
      </c>
      <c r="F368">
        <v>1</v>
      </c>
      <c r="G368" t="s">
        <v>34</v>
      </c>
      <c r="H368" t="s">
        <v>48</v>
      </c>
      <c r="I368" t="s">
        <v>41</v>
      </c>
      <c r="J368" t="s">
        <v>23</v>
      </c>
      <c r="K368">
        <v>6</v>
      </c>
      <c r="L368">
        <v>0</v>
      </c>
      <c r="M368" s="2">
        <f t="shared" si="5"/>
        <v>5383.32</v>
      </c>
      <c r="N368" s="2" t="str">
        <f>IF(Tabla1[[#This Row],[Aprobación_Veterinaria]]=1,"APROBADO","NO APROBADO")</f>
        <v>APROBADO</v>
      </c>
      <c r="O368" t="str">
        <f>IF(Tabla1[[#This Row],[Repite compra?]]=1,"REPITE","NO REPITE")</f>
        <v>NO REPITE</v>
      </c>
      <c r="P368" t="str">
        <f>IF(Tabla1[[#This Row],[rating_segun encuesta a Consumidor]]&lt;5,"Regular",IF(Tabla1[[#This Row],[rating_segun encuesta a Consumidor]]&gt;8,"Excelente","Bueno"))</f>
        <v>Bueno</v>
      </c>
    </row>
    <row r="369" spans="1:16" x14ac:dyDescent="0.35">
      <c r="A369" s="1">
        <v>44156</v>
      </c>
      <c r="B369">
        <v>4823</v>
      </c>
      <c r="C369" t="s">
        <v>20</v>
      </c>
      <c r="D369">
        <v>90</v>
      </c>
      <c r="E369">
        <v>94.968000000000004</v>
      </c>
      <c r="F369">
        <v>0</v>
      </c>
      <c r="G369" t="s">
        <v>36</v>
      </c>
      <c r="H369" t="s">
        <v>50</v>
      </c>
      <c r="I369" t="s">
        <v>41</v>
      </c>
      <c r="J369" t="s">
        <v>23</v>
      </c>
      <c r="K369">
        <v>2</v>
      </c>
      <c r="L369">
        <v>1</v>
      </c>
      <c r="M369" s="2">
        <f t="shared" si="5"/>
        <v>8547.1200000000008</v>
      </c>
      <c r="N369" s="2" t="str">
        <f>IF(Tabla1[[#This Row],[Aprobación_Veterinaria]]=1,"APROBADO","NO APROBADO")</f>
        <v>NO APROBADO</v>
      </c>
      <c r="O369" t="str">
        <f>IF(Tabla1[[#This Row],[Repite compra?]]=1,"REPITE","NO REPITE")</f>
        <v>REPITE</v>
      </c>
      <c r="P369" t="str">
        <f>IF(Tabla1[[#This Row],[rating_segun encuesta a Consumidor]]&lt;5,"Regular",IF(Tabla1[[#This Row],[rating_segun encuesta a Consumidor]]&gt;8,"Excelente","Bueno"))</f>
        <v>Regular</v>
      </c>
    </row>
    <row r="370" spans="1:16" x14ac:dyDescent="0.35">
      <c r="A370" s="1">
        <v>43947</v>
      </c>
      <c r="B370">
        <v>4723</v>
      </c>
      <c r="C370" t="s">
        <v>39</v>
      </c>
      <c r="D370">
        <v>229</v>
      </c>
      <c r="E370">
        <v>57.828000000000003</v>
      </c>
      <c r="F370">
        <v>1</v>
      </c>
      <c r="G370" t="s">
        <v>37</v>
      </c>
      <c r="H370" t="s">
        <v>50</v>
      </c>
      <c r="I370" t="s">
        <v>41</v>
      </c>
      <c r="J370" t="s">
        <v>23</v>
      </c>
      <c r="K370">
        <v>10</v>
      </c>
      <c r="L370">
        <v>0</v>
      </c>
      <c r="M370" s="2">
        <f t="shared" si="5"/>
        <v>13242.612000000001</v>
      </c>
      <c r="N370" s="2" t="str">
        <f>IF(Tabla1[[#This Row],[Aprobación_Veterinaria]]=1,"APROBADO","NO APROBADO")</f>
        <v>APROBADO</v>
      </c>
      <c r="O370" t="str">
        <f>IF(Tabla1[[#This Row],[Repite compra?]]=1,"REPITE","NO REPITE")</f>
        <v>NO REPITE</v>
      </c>
      <c r="P370" t="str">
        <f>IF(Tabla1[[#This Row],[rating_segun encuesta a Consumidor]]&lt;5,"Regular",IF(Tabla1[[#This Row],[rating_segun encuesta a Consumidor]]&gt;8,"Excelente","Bueno"))</f>
        <v>Excelente</v>
      </c>
    </row>
    <row r="371" spans="1:16" x14ac:dyDescent="0.35">
      <c r="A371" s="1">
        <v>44130</v>
      </c>
      <c r="B371">
        <v>4827</v>
      </c>
      <c r="C371" t="s">
        <v>15</v>
      </c>
      <c r="D371">
        <v>207</v>
      </c>
      <c r="E371">
        <v>113.08800000000001</v>
      </c>
      <c r="F371">
        <v>1</v>
      </c>
      <c r="G371" t="s">
        <v>40</v>
      </c>
      <c r="H371" t="s">
        <v>38</v>
      </c>
      <c r="I371" t="s">
        <v>41</v>
      </c>
      <c r="J371" t="s">
        <v>23</v>
      </c>
      <c r="K371">
        <v>2</v>
      </c>
      <c r="L371">
        <v>1</v>
      </c>
      <c r="M371" s="2">
        <f t="shared" si="5"/>
        <v>23409.216</v>
      </c>
      <c r="N371" s="2" t="str">
        <f>IF(Tabla1[[#This Row],[Aprobación_Veterinaria]]=1,"APROBADO","NO APROBADO")</f>
        <v>APROBADO</v>
      </c>
      <c r="O371" t="str">
        <f>IF(Tabla1[[#This Row],[Repite compra?]]=1,"REPITE","NO REPITE")</f>
        <v>REPITE</v>
      </c>
      <c r="P371" t="str">
        <f>IF(Tabla1[[#This Row],[rating_segun encuesta a Consumidor]]&lt;5,"Regular",IF(Tabla1[[#This Row],[rating_segun encuesta a Consumidor]]&gt;8,"Excelente","Bueno"))</f>
        <v>Regular</v>
      </c>
    </row>
    <row r="372" spans="1:16" x14ac:dyDescent="0.35">
      <c r="A372" s="1">
        <v>43990</v>
      </c>
      <c r="B372">
        <v>4950</v>
      </c>
      <c r="C372" t="s">
        <v>15</v>
      </c>
      <c r="D372">
        <v>117</v>
      </c>
      <c r="E372">
        <v>197.65200000000002</v>
      </c>
      <c r="F372">
        <v>0</v>
      </c>
      <c r="G372" t="s">
        <v>16</v>
      </c>
      <c r="H372" t="s">
        <v>44</v>
      </c>
      <c r="I372" t="s">
        <v>18</v>
      </c>
      <c r="J372" t="s">
        <v>29</v>
      </c>
      <c r="K372">
        <v>6</v>
      </c>
      <c r="L372">
        <v>0</v>
      </c>
      <c r="M372" s="2">
        <f t="shared" si="5"/>
        <v>23125.284000000003</v>
      </c>
      <c r="N372" s="2" t="str">
        <f>IF(Tabla1[[#This Row],[Aprobación_Veterinaria]]=1,"APROBADO","NO APROBADO")</f>
        <v>NO APROBADO</v>
      </c>
      <c r="O372" t="str">
        <f>IF(Tabla1[[#This Row],[Repite compra?]]=1,"REPITE","NO REPITE")</f>
        <v>NO REPITE</v>
      </c>
      <c r="P372" t="str">
        <f>IF(Tabla1[[#This Row],[rating_segun encuesta a Consumidor]]&lt;5,"Regular",IF(Tabla1[[#This Row],[rating_segun encuesta a Consumidor]]&gt;8,"Excelente","Bueno"))</f>
        <v>Bueno</v>
      </c>
    </row>
    <row r="373" spans="1:16" x14ac:dyDescent="0.35">
      <c r="A373" s="1">
        <v>43932</v>
      </c>
      <c r="B373">
        <v>4705</v>
      </c>
      <c r="C373" t="s">
        <v>39</v>
      </c>
      <c r="D373">
        <v>99</v>
      </c>
      <c r="E373">
        <v>72.168000000000006</v>
      </c>
      <c r="F373">
        <v>1</v>
      </c>
      <c r="G373" t="s">
        <v>21</v>
      </c>
      <c r="H373" t="s">
        <v>44</v>
      </c>
      <c r="I373" t="s">
        <v>35</v>
      </c>
      <c r="J373" t="s">
        <v>23</v>
      </c>
      <c r="K373">
        <v>10</v>
      </c>
      <c r="L373">
        <v>0</v>
      </c>
      <c r="M373" s="2">
        <f t="shared" si="5"/>
        <v>7144.6320000000005</v>
      </c>
      <c r="N373" s="2" t="str">
        <f>IF(Tabla1[[#This Row],[Aprobación_Veterinaria]]=1,"APROBADO","NO APROBADO")</f>
        <v>APROBADO</v>
      </c>
      <c r="O373" t="str">
        <f>IF(Tabla1[[#This Row],[Repite compra?]]=1,"REPITE","NO REPITE")</f>
        <v>NO REPITE</v>
      </c>
      <c r="P373" t="str">
        <f>IF(Tabla1[[#This Row],[rating_segun encuesta a Consumidor]]&lt;5,"Regular",IF(Tabla1[[#This Row],[rating_segun encuesta a Consumidor]]&gt;8,"Excelente","Bueno"))</f>
        <v>Excelente</v>
      </c>
    </row>
    <row r="374" spans="1:16" x14ac:dyDescent="0.35">
      <c r="A374" s="1">
        <v>43957</v>
      </c>
      <c r="B374">
        <v>4851</v>
      </c>
      <c r="C374" t="s">
        <v>15</v>
      </c>
      <c r="D374">
        <v>63</v>
      </c>
      <c r="E374">
        <v>47.411999999999999</v>
      </c>
      <c r="F374">
        <v>0</v>
      </c>
      <c r="G374" t="s">
        <v>24</v>
      </c>
      <c r="H374" t="s">
        <v>48</v>
      </c>
      <c r="I374" t="s">
        <v>41</v>
      </c>
      <c r="J374" t="s">
        <v>23</v>
      </c>
      <c r="K374">
        <v>1</v>
      </c>
      <c r="L374">
        <v>1</v>
      </c>
      <c r="M374" s="2">
        <f t="shared" si="5"/>
        <v>2986.9560000000001</v>
      </c>
      <c r="N374" s="2" t="str">
        <f>IF(Tabla1[[#This Row],[Aprobación_Veterinaria]]=1,"APROBADO","NO APROBADO")</f>
        <v>NO APROBADO</v>
      </c>
      <c r="O374" t="str">
        <f>IF(Tabla1[[#This Row],[Repite compra?]]=1,"REPITE","NO REPITE")</f>
        <v>REPITE</v>
      </c>
      <c r="P374" t="str">
        <f>IF(Tabla1[[#This Row],[rating_segun encuesta a Consumidor]]&lt;5,"Regular",IF(Tabla1[[#This Row],[rating_segun encuesta a Consumidor]]&gt;8,"Excelente","Bueno"))</f>
        <v>Regular</v>
      </c>
    </row>
    <row r="375" spans="1:16" x14ac:dyDescent="0.35">
      <c r="A375" s="1">
        <v>43949</v>
      </c>
      <c r="B375">
        <v>4984</v>
      </c>
      <c r="C375" t="s">
        <v>26</v>
      </c>
      <c r="D375">
        <v>63</v>
      </c>
      <c r="E375">
        <v>112.56</v>
      </c>
      <c r="F375">
        <v>0</v>
      </c>
      <c r="G375" t="s">
        <v>27</v>
      </c>
      <c r="H375" t="s">
        <v>54</v>
      </c>
      <c r="I375" t="s">
        <v>18</v>
      </c>
      <c r="J375" t="s">
        <v>19</v>
      </c>
      <c r="K375">
        <v>6</v>
      </c>
      <c r="L375">
        <v>0</v>
      </c>
      <c r="M375" s="2">
        <f t="shared" si="5"/>
        <v>7091.28</v>
      </c>
      <c r="N375" s="2" t="str">
        <f>IF(Tabla1[[#This Row],[Aprobación_Veterinaria]]=1,"APROBADO","NO APROBADO")</f>
        <v>NO APROBADO</v>
      </c>
      <c r="O375" t="str">
        <f>IF(Tabla1[[#This Row],[Repite compra?]]=1,"REPITE","NO REPITE")</f>
        <v>NO REPITE</v>
      </c>
      <c r="P375" t="str">
        <f>IF(Tabla1[[#This Row],[rating_segun encuesta a Consumidor]]&lt;5,"Regular",IF(Tabla1[[#This Row],[rating_segun encuesta a Consumidor]]&gt;8,"Excelente","Bueno"))</f>
        <v>Bueno</v>
      </c>
    </row>
    <row r="376" spans="1:16" x14ac:dyDescent="0.35">
      <c r="A376" s="1">
        <v>43880</v>
      </c>
      <c r="B376">
        <v>4967</v>
      </c>
      <c r="C376" t="s">
        <v>20</v>
      </c>
      <c r="D376">
        <v>31</v>
      </c>
      <c r="E376">
        <v>220.66800000000001</v>
      </c>
      <c r="F376">
        <v>0</v>
      </c>
      <c r="G376" t="s">
        <v>31</v>
      </c>
      <c r="H376" t="s">
        <v>38</v>
      </c>
      <c r="I376" t="s">
        <v>41</v>
      </c>
      <c r="J376" t="s">
        <v>49</v>
      </c>
      <c r="K376">
        <v>6</v>
      </c>
      <c r="L376">
        <v>0</v>
      </c>
      <c r="M376" s="2">
        <f t="shared" si="5"/>
        <v>6840.7080000000005</v>
      </c>
      <c r="N376" s="2" t="str">
        <f>IF(Tabla1[[#This Row],[Aprobación_Veterinaria]]=1,"APROBADO","NO APROBADO")</f>
        <v>NO APROBADO</v>
      </c>
      <c r="O376" t="str">
        <f>IF(Tabla1[[#This Row],[Repite compra?]]=1,"REPITE","NO REPITE")</f>
        <v>NO REPITE</v>
      </c>
      <c r="P376" t="str">
        <f>IF(Tabla1[[#This Row],[rating_segun encuesta a Consumidor]]&lt;5,"Regular",IF(Tabla1[[#This Row],[rating_segun encuesta a Consumidor]]&gt;8,"Excelente","Bueno"))</f>
        <v>Bueno</v>
      </c>
    </row>
    <row r="377" spans="1:16" x14ac:dyDescent="0.35">
      <c r="A377" s="1">
        <v>44108</v>
      </c>
      <c r="B377">
        <v>4673</v>
      </c>
      <c r="C377" t="s">
        <v>15</v>
      </c>
      <c r="D377">
        <v>77</v>
      </c>
      <c r="E377">
        <v>97.284000000000006</v>
      </c>
      <c r="F377">
        <v>1</v>
      </c>
      <c r="G377" t="s">
        <v>33</v>
      </c>
      <c r="H377" t="s">
        <v>22</v>
      </c>
      <c r="I377" t="s">
        <v>41</v>
      </c>
      <c r="J377" t="s">
        <v>23</v>
      </c>
      <c r="K377">
        <v>10</v>
      </c>
      <c r="L377">
        <v>1</v>
      </c>
      <c r="M377" s="2">
        <f t="shared" si="5"/>
        <v>7490.8680000000004</v>
      </c>
      <c r="N377" s="2" t="str">
        <f>IF(Tabla1[[#This Row],[Aprobación_Veterinaria]]=1,"APROBADO","NO APROBADO")</f>
        <v>APROBADO</v>
      </c>
      <c r="O377" t="str">
        <f>IF(Tabla1[[#This Row],[Repite compra?]]=1,"REPITE","NO REPITE")</f>
        <v>REPITE</v>
      </c>
      <c r="P377" t="str">
        <f>IF(Tabla1[[#This Row],[rating_segun encuesta a Consumidor]]&lt;5,"Regular",IF(Tabla1[[#This Row],[rating_segun encuesta a Consumidor]]&gt;8,"Excelente","Bueno"))</f>
        <v>Excelente</v>
      </c>
    </row>
    <row r="378" spans="1:16" x14ac:dyDescent="0.35">
      <c r="A378" s="1">
        <v>43912</v>
      </c>
      <c r="B378">
        <v>4185</v>
      </c>
      <c r="C378" t="s">
        <v>51</v>
      </c>
      <c r="D378">
        <v>109</v>
      </c>
      <c r="E378">
        <v>76.44</v>
      </c>
      <c r="F378">
        <v>1</v>
      </c>
      <c r="G378" t="s">
        <v>34</v>
      </c>
      <c r="H378" t="s">
        <v>22</v>
      </c>
      <c r="I378" t="s">
        <v>35</v>
      </c>
      <c r="J378" t="s">
        <v>23</v>
      </c>
      <c r="K378">
        <v>3</v>
      </c>
      <c r="L378">
        <v>1</v>
      </c>
      <c r="M378" s="2">
        <f t="shared" si="5"/>
        <v>8331.9599999999991</v>
      </c>
      <c r="N378" s="2" t="str">
        <f>IF(Tabla1[[#This Row],[Aprobación_Veterinaria]]=1,"APROBADO","NO APROBADO")</f>
        <v>APROBADO</v>
      </c>
      <c r="O378" t="str">
        <f>IF(Tabla1[[#This Row],[Repite compra?]]=1,"REPITE","NO REPITE")</f>
        <v>REPITE</v>
      </c>
      <c r="P378" t="str">
        <f>IF(Tabla1[[#This Row],[rating_segun encuesta a Consumidor]]&lt;5,"Regular",IF(Tabla1[[#This Row],[rating_segun encuesta a Consumidor]]&gt;8,"Excelente","Bueno"))</f>
        <v>Regular</v>
      </c>
    </row>
    <row r="379" spans="1:16" x14ac:dyDescent="0.35">
      <c r="A379" s="1">
        <v>43954</v>
      </c>
      <c r="B379">
        <v>4627</v>
      </c>
      <c r="C379" t="s">
        <v>43</v>
      </c>
      <c r="D379">
        <v>230</v>
      </c>
      <c r="E379">
        <v>195.61199999999999</v>
      </c>
      <c r="F379">
        <v>0</v>
      </c>
      <c r="G379" t="s">
        <v>36</v>
      </c>
      <c r="H379" t="s">
        <v>22</v>
      </c>
      <c r="I379" t="s">
        <v>18</v>
      </c>
      <c r="J379" t="s">
        <v>23</v>
      </c>
      <c r="K379">
        <v>10</v>
      </c>
      <c r="L379">
        <v>0</v>
      </c>
      <c r="M379" s="2">
        <f t="shared" si="5"/>
        <v>44990.76</v>
      </c>
      <c r="N379" s="2" t="str">
        <f>IF(Tabla1[[#This Row],[Aprobación_Veterinaria]]=1,"APROBADO","NO APROBADO")</f>
        <v>NO APROBADO</v>
      </c>
      <c r="O379" t="str">
        <f>IF(Tabla1[[#This Row],[Repite compra?]]=1,"REPITE","NO REPITE")</f>
        <v>NO REPITE</v>
      </c>
      <c r="P379" t="str">
        <f>IF(Tabla1[[#This Row],[rating_segun encuesta a Consumidor]]&lt;5,"Regular",IF(Tabla1[[#This Row],[rating_segun encuesta a Consumidor]]&gt;8,"Excelente","Bueno"))</f>
        <v>Excelente</v>
      </c>
    </row>
    <row r="380" spans="1:16" x14ac:dyDescent="0.35">
      <c r="A380" s="1">
        <v>43892</v>
      </c>
      <c r="B380">
        <v>4348</v>
      </c>
      <c r="C380" t="s">
        <v>39</v>
      </c>
      <c r="D380">
        <v>123</v>
      </c>
      <c r="E380">
        <v>1.9319999999999999</v>
      </c>
      <c r="F380">
        <v>1</v>
      </c>
      <c r="G380" t="s">
        <v>37</v>
      </c>
      <c r="H380" t="s">
        <v>22</v>
      </c>
      <c r="I380" t="s">
        <v>41</v>
      </c>
      <c r="J380" t="s">
        <v>29</v>
      </c>
      <c r="K380">
        <v>1</v>
      </c>
      <c r="L380">
        <v>0</v>
      </c>
      <c r="M380" s="2">
        <f t="shared" si="5"/>
        <v>237.636</v>
      </c>
      <c r="N380" s="2" t="str">
        <f>IF(Tabla1[[#This Row],[Aprobación_Veterinaria]]=1,"APROBADO","NO APROBADO")</f>
        <v>APROBADO</v>
      </c>
      <c r="O380" t="str">
        <f>IF(Tabla1[[#This Row],[Repite compra?]]=1,"REPITE","NO REPITE")</f>
        <v>NO REPITE</v>
      </c>
      <c r="P380" t="str">
        <f>IF(Tabla1[[#This Row],[rating_segun encuesta a Consumidor]]&lt;5,"Regular",IF(Tabla1[[#This Row],[rating_segun encuesta a Consumidor]]&gt;8,"Excelente","Bueno"))</f>
        <v>Regular</v>
      </c>
    </row>
    <row r="381" spans="1:16" x14ac:dyDescent="0.35">
      <c r="A381" s="1">
        <v>44168</v>
      </c>
      <c r="B381">
        <v>4222</v>
      </c>
      <c r="C381" t="s">
        <v>15</v>
      </c>
      <c r="D381">
        <v>173</v>
      </c>
      <c r="E381">
        <v>146.78399999999999</v>
      </c>
      <c r="F381">
        <v>0</v>
      </c>
      <c r="G381" t="s">
        <v>40</v>
      </c>
      <c r="H381" t="s">
        <v>22</v>
      </c>
      <c r="I381" t="s">
        <v>18</v>
      </c>
      <c r="J381" t="s">
        <v>53</v>
      </c>
      <c r="K381">
        <v>10</v>
      </c>
      <c r="L381">
        <v>1</v>
      </c>
      <c r="M381" s="2">
        <f t="shared" si="5"/>
        <v>25393.631999999998</v>
      </c>
      <c r="N381" s="2" t="str">
        <f>IF(Tabla1[[#This Row],[Aprobación_Veterinaria]]=1,"APROBADO","NO APROBADO")</f>
        <v>NO APROBADO</v>
      </c>
      <c r="O381" t="str">
        <f>IF(Tabla1[[#This Row],[Repite compra?]]=1,"REPITE","NO REPITE")</f>
        <v>REPITE</v>
      </c>
      <c r="P381" t="str">
        <f>IF(Tabla1[[#This Row],[rating_segun encuesta a Consumidor]]&lt;5,"Regular",IF(Tabla1[[#This Row],[rating_segun encuesta a Consumidor]]&gt;8,"Excelente","Bueno"))</f>
        <v>Excelente</v>
      </c>
    </row>
    <row r="382" spans="1:16" x14ac:dyDescent="0.35">
      <c r="A382" s="1">
        <v>43941</v>
      </c>
      <c r="B382">
        <v>4290</v>
      </c>
      <c r="C382" t="s">
        <v>32</v>
      </c>
      <c r="D382">
        <v>72</v>
      </c>
      <c r="E382">
        <v>155.62800000000001</v>
      </c>
      <c r="F382">
        <v>1</v>
      </c>
      <c r="G382" t="s">
        <v>16</v>
      </c>
      <c r="H382" t="s">
        <v>22</v>
      </c>
      <c r="I382" t="s">
        <v>35</v>
      </c>
      <c r="J382" t="s">
        <v>49</v>
      </c>
      <c r="K382">
        <v>1</v>
      </c>
      <c r="L382">
        <v>0</v>
      </c>
      <c r="M382" s="2">
        <f t="shared" si="5"/>
        <v>11205.216</v>
      </c>
      <c r="N382" s="2" t="str">
        <f>IF(Tabla1[[#This Row],[Aprobación_Veterinaria]]=1,"APROBADO","NO APROBADO")</f>
        <v>APROBADO</v>
      </c>
      <c r="O382" t="str">
        <f>IF(Tabla1[[#This Row],[Repite compra?]]=1,"REPITE","NO REPITE")</f>
        <v>NO REPITE</v>
      </c>
      <c r="P382" t="str">
        <f>IF(Tabla1[[#This Row],[rating_segun encuesta a Consumidor]]&lt;5,"Regular",IF(Tabla1[[#This Row],[rating_segun encuesta a Consumidor]]&gt;8,"Excelente","Bueno"))</f>
        <v>Regular</v>
      </c>
    </row>
    <row r="383" spans="1:16" x14ac:dyDescent="0.35">
      <c r="A383" s="1">
        <v>44140</v>
      </c>
      <c r="B383">
        <v>4849</v>
      </c>
      <c r="C383" t="s">
        <v>26</v>
      </c>
      <c r="D383">
        <v>161</v>
      </c>
      <c r="E383">
        <v>154.72800000000001</v>
      </c>
      <c r="F383">
        <v>1</v>
      </c>
      <c r="G383" t="s">
        <v>21</v>
      </c>
      <c r="H383" t="s">
        <v>54</v>
      </c>
      <c r="I383" t="s">
        <v>41</v>
      </c>
      <c r="J383" t="s">
        <v>23</v>
      </c>
      <c r="K383">
        <v>1</v>
      </c>
      <c r="L383">
        <v>1</v>
      </c>
      <c r="M383" s="2">
        <f t="shared" si="5"/>
        <v>24911.208000000002</v>
      </c>
      <c r="N383" s="2" t="str">
        <f>IF(Tabla1[[#This Row],[Aprobación_Veterinaria]]=1,"APROBADO","NO APROBADO")</f>
        <v>APROBADO</v>
      </c>
      <c r="O383" t="str">
        <f>IF(Tabla1[[#This Row],[Repite compra?]]=1,"REPITE","NO REPITE")</f>
        <v>REPITE</v>
      </c>
      <c r="P383" t="str">
        <f>IF(Tabla1[[#This Row],[rating_segun encuesta a Consumidor]]&lt;5,"Regular",IF(Tabla1[[#This Row],[rating_segun encuesta a Consumidor]]&gt;8,"Excelente","Bueno"))</f>
        <v>Regular</v>
      </c>
    </row>
    <row r="384" spans="1:16" x14ac:dyDescent="0.35">
      <c r="A384" s="1">
        <v>43881</v>
      </c>
      <c r="B384">
        <v>4530</v>
      </c>
      <c r="C384" t="s">
        <v>15</v>
      </c>
      <c r="D384">
        <v>139</v>
      </c>
      <c r="E384">
        <v>142.18800000000002</v>
      </c>
      <c r="F384">
        <v>1</v>
      </c>
      <c r="G384" t="s">
        <v>24</v>
      </c>
      <c r="H384" t="s">
        <v>22</v>
      </c>
      <c r="I384" t="s">
        <v>35</v>
      </c>
      <c r="J384" t="s">
        <v>29</v>
      </c>
      <c r="K384">
        <v>3</v>
      </c>
      <c r="L384">
        <v>1</v>
      </c>
      <c r="M384" s="2">
        <f t="shared" si="5"/>
        <v>19764.132000000001</v>
      </c>
      <c r="N384" s="2" t="str">
        <f>IF(Tabla1[[#This Row],[Aprobación_Veterinaria]]=1,"APROBADO","NO APROBADO")</f>
        <v>APROBADO</v>
      </c>
      <c r="O384" t="str">
        <f>IF(Tabla1[[#This Row],[Repite compra?]]=1,"REPITE","NO REPITE")</f>
        <v>REPITE</v>
      </c>
      <c r="P384" t="str">
        <f>IF(Tabla1[[#This Row],[rating_segun encuesta a Consumidor]]&lt;5,"Regular",IF(Tabla1[[#This Row],[rating_segun encuesta a Consumidor]]&gt;8,"Excelente","Bueno"))</f>
        <v>Regular</v>
      </c>
    </row>
    <row r="385" spans="1:16" x14ac:dyDescent="0.35">
      <c r="A385" s="1">
        <v>44156</v>
      </c>
      <c r="B385">
        <v>4960</v>
      </c>
      <c r="C385" t="s">
        <v>26</v>
      </c>
      <c r="D385">
        <v>136</v>
      </c>
      <c r="E385">
        <v>203.46</v>
      </c>
      <c r="F385">
        <v>1</v>
      </c>
      <c r="G385" t="s">
        <v>27</v>
      </c>
      <c r="H385" t="s">
        <v>44</v>
      </c>
      <c r="I385" t="s">
        <v>18</v>
      </c>
      <c r="J385" t="s">
        <v>19</v>
      </c>
      <c r="K385">
        <v>6</v>
      </c>
      <c r="L385">
        <v>0</v>
      </c>
      <c r="M385" s="2">
        <f t="shared" si="5"/>
        <v>27670.560000000001</v>
      </c>
      <c r="N385" s="2" t="str">
        <f>IF(Tabla1[[#This Row],[Aprobación_Veterinaria]]=1,"APROBADO","NO APROBADO")</f>
        <v>APROBADO</v>
      </c>
      <c r="O385" t="str">
        <f>IF(Tabla1[[#This Row],[Repite compra?]]=1,"REPITE","NO REPITE")</f>
        <v>NO REPITE</v>
      </c>
      <c r="P385" t="str">
        <f>IF(Tabla1[[#This Row],[rating_segun encuesta a Consumidor]]&lt;5,"Regular",IF(Tabla1[[#This Row],[rating_segun encuesta a Consumidor]]&gt;8,"Excelente","Bueno"))</f>
        <v>Bueno</v>
      </c>
    </row>
    <row r="386" spans="1:16" x14ac:dyDescent="0.35">
      <c r="A386" s="1">
        <v>44186</v>
      </c>
      <c r="B386">
        <v>4779</v>
      </c>
      <c r="C386" t="s">
        <v>15</v>
      </c>
      <c r="D386">
        <v>172</v>
      </c>
      <c r="E386">
        <v>20.076000000000001</v>
      </c>
      <c r="F386">
        <v>1</v>
      </c>
      <c r="G386" t="s">
        <v>31</v>
      </c>
      <c r="H386" t="s">
        <v>54</v>
      </c>
      <c r="I386" t="s">
        <v>41</v>
      </c>
      <c r="J386" t="s">
        <v>23</v>
      </c>
      <c r="K386">
        <v>7</v>
      </c>
      <c r="L386">
        <v>0</v>
      </c>
      <c r="M386" s="2">
        <f t="shared" ref="M386:M449" si="6">D386*E386</f>
        <v>3453.0720000000001</v>
      </c>
      <c r="N386" s="2" t="str">
        <f>IF(Tabla1[[#This Row],[Aprobación_Veterinaria]]=1,"APROBADO","NO APROBADO")</f>
        <v>APROBADO</v>
      </c>
      <c r="O386" t="str">
        <f>IF(Tabla1[[#This Row],[Repite compra?]]=1,"REPITE","NO REPITE")</f>
        <v>NO REPITE</v>
      </c>
      <c r="P386" t="str">
        <f>IF(Tabla1[[#This Row],[rating_segun encuesta a Consumidor]]&lt;5,"Regular",IF(Tabla1[[#This Row],[rating_segun encuesta a Consumidor]]&gt;8,"Excelente","Bueno"))</f>
        <v>Bueno</v>
      </c>
    </row>
    <row r="387" spans="1:16" x14ac:dyDescent="0.35">
      <c r="A387" s="1">
        <v>43918</v>
      </c>
      <c r="B387">
        <v>4264</v>
      </c>
      <c r="C387" t="s">
        <v>43</v>
      </c>
      <c r="D387">
        <v>172</v>
      </c>
      <c r="E387">
        <v>34.764000000000003</v>
      </c>
      <c r="F387">
        <v>0</v>
      </c>
      <c r="G387" t="s">
        <v>33</v>
      </c>
      <c r="H387" t="s">
        <v>22</v>
      </c>
      <c r="I387" t="s">
        <v>28</v>
      </c>
      <c r="J387" t="s">
        <v>53</v>
      </c>
      <c r="K387">
        <v>6</v>
      </c>
      <c r="L387">
        <v>0</v>
      </c>
      <c r="M387" s="2">
        <f t="shared" si="6"/>
        <v>5979.4080000000004</v>
      </c>
      <c r="N387" s="2" t="str">
        <f>IF(Tabla1[[#This Row],[Aprobación_Veterinaria]]=1,"APROBADO","NO APROBADO")</f>
        <v>NO APROBADO</v>
      </c>
      <c r="O387" t="str">
        <f>IF(Tabla1[[#This Row],[Repite compra?]]=1,"REPITE","NO REPITE")</f>
        <v>NO REPITE</v>
      </c>
      <c r="P387" t="str">
        <f>IF(Tabla1[[#This Row],[rating_segun encuesta a Consumidor]]&lt;5,"Regular",IF(Tabla1[[#This Row],[rating_segun encuesta a Consumidor]]&gt;8,"Excelente","Bueno"))</f>
        <v>Bueno</v>
      </c>
    </row>
    <row r="388" spans="1:16" x14ac:dyDescent="0.35">
      <c r="A388" s="1">
        <v>44148</v>
      </c>
      <c r="B388">
        <v>4941</v>
      </c>
      <c r="C388" t="s">
        <v>15</v>
      </c>
      <c r="D388">
        <v>65</v>
      </c>
      <c r="E388">
        <v>214.11600000000001</v>
      </c>
      <c r="F388">
        <v>1</v>
      </c>
      <c r="G388" t="s">
        <v>34</v>
      </c>
      <c r="H388" t="s">
        <v>48</v>
      </c>
      <c r="I388" t="s">
        <v>41</v>
      </c>
      <c r="J388" t="s">
        <v>23</v>
      </c>
      <c r="K388">
        <v>6</v>
      </c>
      <c r="L388">
        <v>0</v>
      </c>
      <c r="M388" s="2">
        <f t="shared" si="6"/>
        <v>13917.54</v>
      </c>
      <c r="N388" s="2" t="str">
        <f>IF(Tabla1[[#This Row],[Aprobación_Veterinaria]]=1,"APROBADO","NO APROBADO")</f>
        <v>APROBADO</v>
      </c>
      <c r="O388" t="str">
        <f>IF(Tabla1[[#This Row],[Repite compra?]]=1,"REPITE","NO REPITE")</f>
        <v>NO REPITE</v>
      </c>
      <c r="P388" t="str">
        <f>IF(Tabla1[[#This Row],[rating_segun encuesta a Consumidor]]&lt;5,"Regular",IF(Tabla1[[#This Row],[rating_segun encuesta a Consumidor]]&gt;8,"Excelente","Bueno"))</f>
        <v>Bueno</v>
      </c>
    </row>
    <row r="389" spans="1:16" x14ac:dyDescent="0.35">
      <c r="A389" s="1">
        <v>43942</v>
      </c>
      <c r="B389">
        <v>4450</v>
      </c>
      <c r="C389" t="s">
        <v>47</v>
      </c>
      <c r="D389">
        <v>81</v>
      </c>
      <c r="E389">
        <v>53.508000000000003</v>
      </c>
      <c r="F389">
        <v>0</v>
      </c>
      <c r="G389" t="s">
        <v>36</v>
      </c>
      <c r="H389" t="s">
        <v>22</v>
      </c>
      <c r="I389" t="s">
        <v>35</v>
      </c>
      <c r="J389" t="s">
        <v>29</v>
      </c>
      <c r="K389">
        <v>2</v>
      </c>
      <c r="L389">
        <v>1</v>
      </c>
      <c r="M389" s="2">
        <f t="shared" si="6"/>
        <v>4334.1480000000001</v>
      </c>
      <c r="N389" s="2" t="str">
        <f>IF(Tabla1[[#This Row],[Aprobación_Veterinaria]]=1,"APROBADO","NO APROBADO")</f>
        <v>NO APROBADO</v>
      </c>
      <c r="O389" t="str">
        <f>IF(Tabla1[[#This Row],[Repite compra?]]=1,"REPITE","NO REPITE")</f>
        <v>REPITE</v>
      </c>
      <c r="P389" t="str">
        <f>IF(Tabla1[[#This Row],[rating_segun encuesta a Consumidor]]&lt;5,"Regular",IF(Tabla1[[#This Row],[rating_segun encuesta a Consumidor]]&gt;8,"Excelente","Bueno"))</f>
        <v>Regular</v>
      </c>
    </row>
    <row r="390" spans="1:16" x14ac:dyDescent="0.35">
      <c r="A390" s="1">
        <v>44062</v>
      </c>
      <c r="B390">
        <v>4702</v>
      </c>
      <c r="C390" t="s">
        <v>39</v>
      </c>
      <c r="D390">
        <v>142</v>
      </c>
      <c r="E390">
        <v>47.616</v>
      </c>
      <c r="F390">
        <v>0</v>
      </c>
      <c r="G390" t="s">
        <v>37</v>
      </c>
      <c r="H390" t="s">
        <v>38</v>
      </c>
      <c r="I390" t="s">
        <v>18</v>
      </c>
      <c r="J390" t="s">
        <v>29</v>
      </c>
      <c r="K390">
        <v>10</v>
      </c>
      <c r="L390">
        <v>1</v>
      </c>
      <c r="M390" s="2">
        <f t="shared" si="6"/>
        <v>6761.4719999999998</v>
      </c>
      <c r="N390" s="2" t="str">
        <f>IF(Tabla1[[#This Row],[Aprobación_Veterinaria]]=1,"APROBADO","NO APROBADO")</f>
        <v>NO APROBADO</v>
      </c>
      <c r="O390" t="str">
        <f>IF(Tabla1[[#This Row],[Repite compra?]]=1,"REPITE","NO REPITE")</f>
        <v>REPITE</v>
      </c>
      <c r="P390" t="str">
        <f>IF(Tabla1[[#This Row],[rating_segun encuesta a Consumidor]]&lt;5,"Regular",IF(Tabla1[[#This Row],[rating_segun encuesta a Consumidor]]&gt;8,"Excelente","Bueno"))</f>
        <v>Excelente</v>
      </c>
    </row>
    <row r="391" spans="1:16" x14ac:dyDescent="0.35">
      <c r="A391" s="1">
        <v>44010</v>
      </c>
      <c r="B391">
        <v>4580</v>
      </c>
      <c r="C391" t="s">
        <v>30</v>
      </c>
      <c r="D391">
        <v>198</v>
      </c>
      <c r="E391">
        <v>168.768</v>
      </c>
      <c r="F391">
        <v>0</v>
      </c>
      <c r="G391" t="s">
        <v>40</v>
      </c>
      <c r="H391" t="s">
        <v>22</v>
      </c>
      <c r="I391" t="s">
        <v>35</v>
      </c>
      <c r="J391" t="s">
        <v>29</v>
      </c>
      <c r="K391">
        <v>10</v>
      </c>
      <c r="L391">
        <v>0</v>
      </c>
      <c r="M391" s="2">
        <f t="shared" si="6"/>
        <v>33416.063999999998</v>
      </c>
      <c r="N391" s="2" t="str">
        <f>IF(Tabla1[[#This Row],[Aprobación_Veterinaria]]=1,"APROBADO","NO APROBADO")</f>
        <v>NO APROBADO</v>
      </c>
      <c r="O391" t="str">
        <f>IF(Tabla1[[#This Row],[Repite compra?]]=1,"REPITE","NO REPITE")</f>
        <v>NO REPITE</v>
      </c>
      <c r="P391" t="str">
        <f>IF(Tabla1[[#This Row],[rating_segun encuesta a Consumidor]]&lt;5,"Regular",IF(Tabla1[[#This Row],[rating_segun encuesta a Consumidor]]&gt;8,"Excelente","Bueno"))</f>
        <v>Excelente</v>
      </c>
    </row>
    <row r="392" spans="1:16" x14ac:dyDescent="0.35">
      <c r="A392" s="1">
        <v>44051</v>
      </c>
      <c r="B392">
        <v>4522</v>
      </c>
      <c r="C392" t="s">
        <v>42</v>
      </c>
      <c r="D392">
        <v>193</v>
      </c>
      <c r="E392">
        <v>16.728000000000002</v>
      </c>
      <c r="F392">
        <v>0</v>
      </c>
      <c r="G392" t="s">
        <v>16</v>
      </c>
      <c r="H392" t="s">
        <v>22</v>
      </c>
      <c r="I392" t="s">
        <v>18</v>
      </c>
      <c r="J392" t="s">
        <v>29</v>
      </c>
      <c r="K392">
        <v>9</v>
      </c>
      <c r="L392">
        <v>1</v>
      </c>
      <c r="M392" s="2">
        <f t="shared" si="6"/>
        <v>3228.5040000000004</v>
      </c>
      <c r="N392" s="2" t="str">
        <f>IF(Tabla1[[#This Row],[Aprobación_Veterinaria]]=1,"APROBADO","NO APROBADO")</f>
        <v>NO APROBADO</v>
      </c>
      <c r="O392" t="str">
        <f>IF(Tabla1[[#This Row],[Repite compra?]]=1,"REPITE","NO REPITE")</f>
        <v>REPITE</v>
      </c>
      <c r="P392" t="str">
        <f>IF(Tabla1[[#This Row],[rating_segun encuesta a Consumidor]]&lt;5,"Regular",IF(Tabla1[[#This Row],[rating_segun encuesta a Consumidor]]&gt;8,"Excelente","Bueno"))</f>
        <v>Excelente</v>
      </c>
    </row>
    <row r="393" spans="1:16" x14ac:dyDescent="0.35">
      <c r="A393" s="1">
        <v>44109</v>
      </c>
      <c r="B393">
        <v>4235</v>
      </c>
      <c r="C393" t="s">
        <v>32</v>
      </c>
      <c r="D393">
        <v>180</v>
      </c>
      <c r="E393">
        <v>48.347999999999999</v>
      </c>
      <c r="F393">
        <v>1</v>
      </c>
      <c r="G393" t="s">
        <v>21</v>
      </c>
      <c r="H393" t="s">
        <v>22</v>
      </c>
      <c r="I393" t="s">
        <v>35</v>
      </c>
      <c r="J393" t="s">
        <v>19</v>
      </c>
      <c r="K393">
        <v>10</v>
      </c>
      <c r="L393">
        <v>0</v>
      </c>
      <c r="M393" s="2">
        <f t="shared" si="6"/>
        <v>8702.64</v>
      </c>
      <c r="N393" s="2" t="str">
        <f>IF(Tabla1[[#This Row],[Aprobación_Veterinaria]]=1,"APROBADO","NO APROBADO")</f>
        <v>APROBADO</v>
      </c>
      <c r="O393" t="str">
        <f>IF(Tabla1[[#This Row],[Repite compra?]]=1,"REPITE","NO REPITE")</f>
        <v>NO REPITE</v>
      </c>
      <c r="P393" t="str">
        <f>IF(Tabla1[[#This Row],[rating_segun encuesta a Consumidor]]&lt;5,"Regular",IF(Tabla1[[#This Row],[rating_segun encuesta a Consumidor]]&gt;8,"Excelente","Bueno"))</f>
        <v>Excelente</v>
      </c>
    </row>
    <row r="394" spans="1:16" x14ac:dyDescent="0.35">
      <c r="A394" s="1">
        <v>43835</v>
      </c>
      <c r="B394">
        <v>4391</v>
      </c>
      <c r="C394" t="s">
        <v>20</v>
      </c>
      <c r="D394">
        <v>95</v>
      </c>
      <c r="E394">
        <v>214.584</v>
      </c>
      <c r="F394">
        <v>0</v>
      </c>
      <c r="G394" t="s">
        <v>24</v>
      </c>
      <c r="H394" t="s">
        <v>22</v>
      </c>
      <c r="I394" t="s">
        <v>45</v>
      </c>
      <c r="J394" t="s">
        <v>23</v>
      </c>
      <c r="K394">
        <v>5</v>
      </c>
      <c r="L394">
        <v>1</v>
      </c>
      <c r="M394" s="2">
        <f t="shared" si="6"/>
        <v>20385.48</v>
      </c>
      <c r="N394" s="2" t="str">
        <f>IF(Tabla1[[#This Row],[Aprobación_Veterinaria]]=1,"APROBADO","NO APROBADO")</f>
        <v>NO APROBADO</v>
      </c>
      <c r="O394" t="str">
        <f>IF(Tabla1[[#This Row],[Repite compra?]]=1,"REPITE","NO REPITE")</f>
        <v>REPITE</v>
      </c>
      <c r="P394" t="str">
        <f>IF(Tabla1[[#This Row],[rating_segun encuesta a Consumidor]]&lt;5,"Regular",IF(Tabla1[[#This Row],[rating_segun encuesta a Consumidor]]&gt;8,"Excelente","Bueno"))</f>
        <v>Bueno</v>
      </c>
    </row>
    <row r="395" spans="1:16" x14ac:dyDescent="0.35">
      <c r="A395" s="1">
        <v>44060</v>
      </c>
      <c r="B395">
        <v>4670</v>
      </c>
      <c r="C395" t="s">
        <v>47</v>
      </c>
      <c r="D395">
        <v>78</v>
      </c>
      <c r="E395">
        <v>101.46000000000001</v>
      </c>
      <c r="F395">
        <v>1</v>
      </c>
      <c r="G395" t="s">
        <v>27</v>
      </c>
      <c r="H395" t="s">
        <v>22</v>
      </c>
      <c r="I395" t="s">
        <v>35</v>
      </c>
      <c r="J395" t="s">
        <v>29</v>
      </c>
      <c r="K395">
        <v>10</v>
      </c>
      <c r="L395">
        <v>1</v>
      </c>
      <c r="M395" s="2">
        <f t="shared" si="6"/>
        <v>7913.880000000001</v>
      </c>
      <c r="N395" s="2" t="str">
        <f>IF(Tabla1[[#This Row],[Aprobación_Veterinaria]]=1,"APROBADO","NO APROBADO")</f>
        <v>APROBADO</v>
      </c>
      <c r="O395" t="str">
        <f>IF(Tabla1[[#This Row],[Repite compra?]]=1,"REPITE","NO REPITE")</f>
        <v>REPITE</v>
      </c>
      <c r="P395" t="str">
        <f>IF(Tabla1[[#This Row],[rating_segun encuesta a Consumidor]]&lt;5,"Regular",IF(Tabla1[[#This Row],[rating_segun encuesta a Consumidor]]&gt;8,"Excelente","Bueno"))</f>
        <v>Excelente</v>
      </c>
    </row>
    <row r="396" spans="1:16" x14ac:dyDescent="0.35">
      <c r="A396" s="1">
        <v>43846</v>
      </c>
      <c r="B396">
        <v>4914</v>
      </c>
      <c r="C396" t="s">
        <v>15</v>
      </c>
      <c r="D396">
        <v>145</v>
      </c>
      <c r="E396">
        <v>105.55200000000001</v>
      </c>
      <c r="F396">
        <v>0</v>
      </c>
      <c r="G396" t="s">
        <v>31</v>
      </c>
      <c r="H396" t="s">
        <v>54</v>
      </c>
      <c r="I396" t="s">
        <v>18</v>
      </c>
      <c r="J396" t="s">
        <v>29</v>
      </c>
      <c r="K396">
        <v>6</v>
      </c>
      <c r="L396">
        <v>0</v>
      </c>
      <c r="M396" s="2">
        <f t="shared" si="6"/>
        <v>15305.04</v>
      </c>
      <c r="N396" s="2" t="str">
        <f>IF(Tabla1[[#This Row],[Aprobación_Veterinaria]]=1,"APROBADO","NO APROBADO")</f>
        <v>NO APROBADO</v>
      </c>
      <c r="O396" t="str">
        <f>IF(Tabla1[[#This Row],[Repite compra?]]=1,"REPITE","NO REPITE")</f>
        <v>NO REPITE</v>
      </c>
      <c r="P396" t="str">
        <f>IF(Tabla1[[#This Row],[rating_segun encuesta a Consumidor]]&lt;5,"Regular",IF(Tabla1[[#This Row],[rating_segun encuesta a Consumidor]]&gt;8,"Excelente","Bueno"))</f>
        <v>Bueno</v>
      </c>
    </row>
    <row r="397" spans="1:16" x14ac:dyDescent="0.35">
      <c r="A397" s="1">
        <v>44191</v>
      </c>
      <c r="B397">
        <v>4597</v>
      </c>
      <c r="C397" t="s">
        <v>46</v>
      </c>
      <c r="D397">
        <v>4</v>
      </c>
      <c r="E397">
        <v>182.61600000000001</v>
      </c>
      <c r="F397">
        <v>1</v>
      </c>
      <c r="G397" t="s">
        <v>33</v>
      </c>
      <c r="H397" t="s">
        <v>22</v>
      </c>
      <c r="I397" t="s">
        <v>18</v>
      </c>
      <c r="J397" t="s">
        <v>23</v>
      </c>
      <c r="K397">
        <v>10</v>
      </c>
      <c r="L397">
        <v>0</v>
      </c>
      <c r="M397" s="2">
        <f t="shared" si="6"/>
        <v>730.46400000000006</v>
      </c>
      <c r="N397" s="2" t="str">
        <f>IF(Tabla1[[#This Row],[Aprobación_Veterinaria]]=1,"APROBADO","NO APROBADO")</f>
        <v>APROBADO</v>
      </c>
      <c r="O397" t="str">
        <f>IF(Tabla1[[#This Row],[Repite compra?]]=1,"REPITE","NO REPITE")</f>
        <v>NO REPITE</v>
      </c>
      <c r="P397" t="str">
        <f>IF(Tabla1[[#This Row],[rating_segun encuesta a Consumidor]]&lt;5,"Regular",IF(Tabla1[[#This Row],[rating_segun encuesta a Consumidor]]&gt;8,"Excelente","Bueno"))</f>
        <v>Excelente</v>
      </c>
    </row>
    <row r="398" spans="1:16" x14ac:dyDescent="0.35">
      <c r="A398" s="1">
        <v>44067</v>
      </c>
      <c r="B398">
        <v>4826</v>
      </c>
      <c r="C398" t="s">
        <v>20</v>
      </c>
      <c r="D398">
        <v>162</v>
      </c>
      <c r="E398">
        <v>83.856000000000009</v>
      </c>
      <c r="F398">
        <v>0</v>
      </c>
      <c r="G398" t="s">
        <v>34</v>
      </c>
      <c r="H398" t="s">
        <v>48</v>
      </c>
      <c r="I398" t="s">
        <v>18</v>
      </c>
      <c r="J398" t="s">
        <v>29</v>
      </c>
      <c r="K398">
        <v>2</v>
      </c>
      <c r="L398">
        <v>1</v>
      </c>
      <c r="M398" s="2">
        <f t="shared" si="6"/>
        <v>13584.672000000002</v>
      </c>
      <c r="N398" s="2" t="str">
        <f>IF(Tabla1[[#This Row],[Aprobación_Veterinaria]]=1,"APROBADO","NO APROBADO")</f>
        <v>NO APROBADO</v>
      </c>
      <c r="O398" t="str">
        <f>IF(Tabla1[[#This Row],[Repite compra?]]=1,"REPITE","NO REPITE")</f>
        <v>REPITE</v>
      </c>
      <c r="P398" t="str">
        <f>IF(Tabla1[[#This Row],[rating_segun encuesta a Consumidor]]&lt;5,"Regular",IF(Tabla1[[#This Row],[rating_segun encuesta a Consumidor]]&gt;8,"Excelente","Bueno"))</f>
        <v>Regular</v>
      </c>
    </row>
    <row r="399" spans="1:16" x14ac:dyDescent="0.35">
      <c r="A399" s="1">
        <v>44142</v>
      </c>
      <c r="B399">
        <v>4327</v>
      </c>
      <c r="C399" t="s">
        <v>30</v>
      </c>
      <c r="D399">
        <v>4</v>
      </c>
      <c r="E399">
        <v>42.911999999999999</v>
      </c>
      <c r="F399">
        <v>0</v>
      </c>
      <c r="G399" t="s">
        <v>36</v>
      </c>
      <c r="H399" t="s">
        <v>22</v>
      </c>
      <c r="I399" t="s">
        <v>18</v>
      </c>
      <c r="J399" t="s">
        <v>23</v>
      </c>
      <c r="K399">
        <v>9</v>
      </c>
      <c r="L399">
        <v>1</v>
      </c>
      <c r="M399" s="2">
        <f t="shared" si="6"/>
        <v>171.648</v>
      </c>
      <c r="N399" s="2" t="str">
        <f>IF(Tabla1[[#This Row],[Aprobación_Veterinaria]]=1,"APROBADO","NO APROBADO")</f>
        <v>NO APROBADO</v>
      </c>
      <c r="O399" t="str">
        <f>IF(Tabla1[[#This Row],[Repite compra?]]=1,"REPITE","NO REPITE")</f>
        <v>REPITE</v>
      </c>
      <c r="P399" t="str">
        <f>IF(Tabla1[[#This Row],[rating_segun encuesta a Consumidor]]&lt;5,"Regular",IF(Tabla1[[#This Row],[rating_segun encuesta a Consumidor]]&gt;8,"Excelente","Bueno"))</f>
        <v>Excelente</v>
      </c>
    </row>
    <row r="400" spans="1:16" x14ac:dyDescent="0.35">
      <c r="A400" s="1">
        <v>43954</v>
      </c>
      <c r="B400">
        <v>4844</v>
      </c>
      <c r="C400" t="s">
        <v>20</v>
      </c>
      <c r="D400">
        <v>173</v>
      </c>
      <c r="E400">
        <v>111.06</v>
      </c>
      <c r="F400">
        <v>0</v>
      </c>
      <c r="G400" t="s">
        <v>37</v>
      </c>
      <c r="H400" t="s">
        <v>54</v>
      </c>
      <c r="I400" t="s">
        <v>18</v>
      </c>
      <c r="J400" t="s">
        <v>29</v>
      </c>
      <c r="K400">
        <v>1</v>
      </c>
      <c r="L400">
        <v>1</v>
      </c>
      <c r="M400" s="2">
        <f t="shared" si="6"/>
        <v>19213.38</v>
      </c>
      <c r="N400" s="2" t="str">
        <f>IF(Tabla1[[#This Row],[Aprobación_Veterinaria]]=1,"APROBADO","NO APROBADO")</f>
        <v>NO APROBADO</v>
      </c>
      <c r="O400" t="str">
        <f>IF(Tabla1[[#This Row],[Repite compra?]]=1,"REPITE","NO REPITE")</f>
        <v>REPITE</v>
      </c>
      <c r="P400" t="str">
        <f>IF(Tabla1[[#This Row],[rating_segun encuesta a Consumidor]]&lt;5,"Regular",IF(Tabla1[[#This Row],[rating_segun encuesta a Consumidor]]&gt;8,"Excelente","Bueno"))</f>
        <v>Regular</v>
      </c>
    </row>
    <row r="401" spans="1:16" x14ac:dyDescent="0.35">
      <c r="A401" s="1">
        <v>43925</v>
      </c>
      <c r="B401">
        <v>4741</v>
      </c>
      <c r="C401" t="s">
        <v>39</v>
      </c>
      <c r="D401">
        <v>3</v>
      </c>
      <c r="E401">
        <v>143.208</v>
      </c>
      <c r="F401">
        <v>1</v>
      </c>
      <c r="G401" t="s">
        <v>40</v>
      </c>
      <c r="H401" t="s">
        <v>48</v>
      </c>
      <c r="I401" t="s">
        <v>41</v>
      </c>
      <c r="J401" t="s">
        <v>23</v>
      </c>
      <c r="K401">
        <v>7</v>
      </c>
      <c r="L401">
        <v>0</v>
      </c>
      <c r="M401" s="2">
        <f t="shared" si="6"/>
        <v>429.62400000000002</v>
      </c>
      <c r="N401" s="2" t="str">
        <f>IF(Tabla1[[#This Row],[Aprobación_Veterinaria]]=1,"APROBADO","NO APROBADO")</f>
        <v>APROBADO</v>
      </c>
      <c r="O401" t="str">
        <f>IF(Tabla1[[#This Row],[Repite compra?]]=1,"REPITE","NO REPITE")</f>
        <v>NO REPITE</v>
      </c>
      <c r="P401" t="str">
        <f>IF(Tabla1[[#This Row],[rating_segun encuesta a Consumidor]]&lt;5,"Regular",IF(Tabla1[[#This Row],[rating_segun encuesta a Consumidor]]&gt;8,"Excelente","Bueno"))</f>
        <v>Bueno</v>
      </c>
    </row>
    <row r="402" spans="1:16" x14ac:dyDescent="0.35">
      <c r="A402" s="1">
        <v>43909</v>
      </c>
      <c r="B402">
        <v>4401</v>
      </c>
      <c r="C402" t="s">
        <v>42</v>
      </c>
      <c r="D402">
        <v>100</v>
      </c>
      <c r="E402">
        <v>214.71600000000001</v>
      </c>
      <c r="F402">
        <v>0</v>
      </c>
      <c r="G402" t="s">
        <v>16</v>
      </c>
      <c r="H402" t="s">
        <v>22</v>
      </c>
      <c r="I402" t="s">
        <v>45</v>
      </c>
      <c r="J402" t="s">
        <v>23</v>
      </c>
      <c r="K402">
        <v>9</v>
      </c>
      <c r="L402">
        <v>0</v>
      </c>
      <c r="M402" s="2">
        <f t="shared" si="6"/>
        <v>21471.600000000002</v>
      </c>
      <c r="N402" s="2" t="str">
        <f>IF(Tabla1[[#This Row],[Aprobación_Veterinaria]]=1,"APROBADO","NO APROBADO")</f>
        <v>NO APROBADO</v>
      </c>
      <c r="O402" t="str">
        <f>IF(Tabla1[[#This Row],[Repite compra?]]=1,"REPITE","NO REPITE")</f>
        <v>NO REPITE</v>
      </c>
      <c r="P402" t="str">
        <f>IF(Tabla1[[#This Row],[rating_segun encuesta a Consumidor]]&lt;5,"Regular",IF(Tabla1[[#This Row],[rating_segun encuesta a Consumidor]]&gt;8,"Excelente","Bueno"))</f>
        <v>Excelente</v>
      </c>
    </row>
    <row r="403" spans="1:16" x14ac:dyDescent="0.35">
      <c r="A403" s="1">
        <v>43914</v>
      </c>
      <c r="B403">
        <v>4228</v>
      </c>
      <c r="C403" t="s">
        <v>30</v>
      </c>
      <c r="D403">
        <v>67</v>
      </c>
      <c r="E403">
        <v>136.90800000000002</v>
      </c>
      <c r="F403">
        <v>1</v>
      </c>
      <c r="G403" t="s">
        <v>21</v>
      </c>
      <c r="H403" t="s">
        <v>22</v>
      </c>
      <c r="I403" t="s">
        <v>41</v>
      </c>
      <c r="J403" t="s">
        <v>53</v>
      </c>
      <c r="K403">
        <v>1</v>
      </c>
      <c r="L403">
        <v>0</v>
      </c>
      <c r="M403" s="2">
        <f t="shared" si="6"/>
        <v>9172.8360000000011</v>
      </c>
      <c r="N403" s="2" t="str">
        <f>IF(Tabla1[[#This Row],[Aprobación_Veterinaria]]=1,"APROBADO","NO APROBADO")</f>
        <v>APROBADO</v>
      </c>
      <c r="O403" t="str">
        <f>IF(Tabla1[[#This Row],[Repite compra?]]=1,"REPITE","NO REPITE")</f>
        <v>NO REPITE</v>
      </c>
      <c r="P403" t="str">
        <f>IF(Tabla1[[#This Row],[rating_segun encuesta a Consumidor]]&lt;5,"Regular",IF(Tabla1[[#This Row],[rating_segun encuesta a Consumidor]]&gt;8,"Excelente","Bueno"))</f>
        <v>Regular</v>
      </c>
    </row>
    <row r="404" spans="1:16" x14ac:dyDescent="0.35">
      <c r="A404" s="1">
        <v>43925</v>
      </c>
      <c r="B404">
        <v>4568</v>
      </c>
      <c r="C404" t="s">
        <v>39</v>
      </c>
      <c r="D404">
        <v>151</v>
      </c>
      <c r="E404">
        <v>29.748000000000001</v>
      </c>
      <c r="F404">
        <v>1</v>
      </c>
      <c r="G404" t="s">
        <v>24</v>
      </c>
      <c r="H404" t="s">
        <v>22</v>
      </c>
      <c r="I404" t="s">
        <v>41</v>
      </c>
      <c r="J404" t="s">
        <v>29</v>
      </c>
      <c r="K404">
        <v>10</v>
      </c>
      <c r="L404">
        <v>0</v>
      </c>
      <c r="M404" s="2">
        <f t="shared" si="6"/>
        <v>4491.9480000000003</v>
      </c>
      <c r="N404" s="2" t="str">
        <f>IF(Tabla1[[#This Row],[Aprobación_Veterinaria]]=1,"APROBADO","NO APROBADO")</f>
        <v>APROBADO</v>
      </c>
      <c r="O404" t="str">
        <f>IF(Tabla1[[#This Row],[Repite compra?]]=1,"REPITE","NO REPITE")</f>
        <v>NO REPITE</v>
      </c>
      <c r="P404" t="str">
        <f>IF(Tabla1[[#This Row],[rating_segun encuesta a Consumidor]]&lt;5,"Regular",IF(Tabla1[[#This Row],[rating_segun encuesta a Consumidor]]&gt;8,"Excelente","Bueno"))</f>
        <v>Excelente</v>
      </c>
    </row>
    <row r="405" spans="1:16" x14ac:dyDescent="0.35">
      <c r="A405" s="1">
        <v>44022</v>
      </c>
      <c r="B405">
        <v>4868</v>
      </c>
      <c r="C405" t="s">
        <v>20</v>
      </c>
      <c r="D405">
        <v>73</v>
      </c>
      <c r="E405">
        <v>157.38</v>
      </c>
      <c r="F405">
        <v>0</v>
      </c>
      <c r="G405" t="s">
        <v>27</v>
      </c>
      <c r="H405" t="s">
        <v>50</v>
      </c>
      <c r="I405" t="s">
        <v>18</v>
      </c>
      <c r="J405" t="s">
        <v>29</v>
      </c>
      <c r="K405">
        <v>6</v>
      </c>
      <c r="L405">
        <v>0</v>
      </c>
      <c r="M405" s="2">
        <f t="shared" si="6"/>
        <v>11488.74</v>
      </c>
      <c r="N405" s="2" t="str">
        <f>IF(Tabla1[[#This Row],[Aprobación_Veterinaria]]=1,"APROBADO","NO APROBADO")</f>
        <v>NO APROBADO</v>
      </c>
      <c r="O405" t="str">
        <f>IF(Tabla1[[#This Row],[Repite compra?]]=1,"REPITE","NO REPITE")</f>
        <v>NO REPITE</v>
      </c>
      <c r="P405" t="str">
        <f>IF(Tabla1[[#This Row],[rating_segun encuesta a Consumidor]]&lt;5,"Regular",IF(Tabla1[[#This Row],[rating_segun encuesta a Consumidor]]&gt;8,"Excelente","Bueno"))</f>
        <v>Bueno</v>
      </c>
    </row>
    <row r="406" spans="1:16" x14ac:dyDescent="0.35">
      <c r="A406" s="1">
        <v>44138</v>
      </c>
      <c r="B406">
        <v>4448</v>
      </c>
      <c r="C406" t="s">
        <v>30</v>
      </c>
      <c r="D406">
        <v>218</v>
      </c>
      <c r="E406">
        <v>173.73599999999999</v>
      </c>
      <c r="F406">
        <v>1</v>
      </c>
      <c r="G406" t="s">
        <v>31</v>
      </c>
      <c r="H406" t="s">
        <v>22</v>
      </c>
      <c r="I406" t="s">
        <v>41</v>
      </c>
      <c r="J406" t="s">
        <v>29</v>
      </c>
      <c r="K406">
        <v>10</v>
      </c>
      <c r="L406">
        <v>0</v>
      </c>
      <c r="M406" s="2">
        <f t="shared" si="6"/>
        <v>37874.447999999997</v>
      </c>
      <c r="N406" s="2" t="str">
        <f>IF(Tabla1[[#This Row],[Aprobación_Veterinaria]]=1,"APROBADO","NO APROBADO")</f>
        <v>APROBADO</v>
      </c>
      <c r="O406" t="str">
        <f>IF(Tabla1[[#This Row],[Repite compra?]]=1,"REPITE","NO REPITE")</f>
        <v>NO REPITE</v>
      </c>
      <c r="P406" t="str">
        <f>IF(Tabla1[[#This Row],[rating_segun encuesta a Consumidor]]&lt;5,"Regular",IF(Tabla1[[#This Row],[rating_segun encuesta a Consumidor]]&gt;8,"Excelente","Bueno"))</f>
        <v>Excelente</v>
      </c>
    </row>
    <row r="407" spans="1:16" x14ac:dyDescent="0.35">
      <c r="A407" s="1">
        <v>44146</v>
      </c>
      <c r="B407">
        <v>4587</v>
      </c>
      <c r="C407" t="s">
        <v>32</v>
      </c>
      <c r="D407">
        <v>202</v>
      </c>
      <c r="E407">
        <v>12.264000000000001</v>
      </c>
      <c r="F407">
        <v>0</v>
      </c>
      <c r="G407" t="s">
        <v>33</v>
      </c>
      <c r="H407" t="s">
        <v>22</v>
      </c>
      <c r="I407" t="s">
        <v>18</v>
      </c>
      <c r="J407" t="s">
        <v>23</v>
      </c>
      <c r="K407">
        <v>10</v>
      </c>
      <c r="L407">
        <v>1</v>
      </c>
      <c r="M407" s="2">
        <f t="shared" si="6"/>
        <v>2477.3280000000004</v>
      </c>
      <c r="N407" s="2" t="str">
        <f>IF(Tabla1[[#This Row],[Aprobación_Veterinaria]]=1,"APROBADO","NO APROBADO")</f>
        <v>NO APROBADO</v>
      </c>
      <c r="O407" t="str">
        <f>IF(Tabla1[[#This Row],[Repite compra?]]=1,"REPITE","NO REPITE")</f>
        <v>REPITE</v>
      </c>
      <c r="P407" t="str">
        <f>IF(Tabla1[[#This Row],[rating_segun encuesta a Consumidor]]&lt;5,"Regular",IF(Tabla1[[#This Row],[rating_segun encuesta a Consumidor]]&gt;8,"Excelente","Bueno"))</f>
        <v>Excelente</v>
      </c>
    </row>
    <row r="408" spans="1:16" x14ac:dyDescent="0.35">
      <c r="A408" s="1">
        <v>44159</v>
      </c>
      <c r="B408">
        <v>4405</v>
      </c>
      <c r="C408" t="s">
        <v>51</v>
      </c>
      <c r="D408">
        <v>106</v>
      </c>
      <c r="E408">
        <v>164.244</v>
      </c>
      <c r="F408">
        <v>0</v>
      </c>
      <c r="G408" t="s">
        <v>34</v>
      </c>
      <c r="H408" t="s">
        <v>22</v>
      </c>
      <c r="I408" t="s">
        <v>35</v>
      </c>
      <c r="J408" t="s">
        <v>23</v>
      </c>
      <c r="K408">
        <v>2</v>
      </c>
      <c r="L408">
        <v>1</v>
      </c>
      <c r="M408" s="2">
        <f t="shared" si="6"/>
        <v>17409.864000000001</v>
      </c>
      <c r="N408" s="2" t="str">
        <f>IF(Tabla1[[#This Row],[Aprobación_Veterinaria]]=1,"APROBADO","NO APROBADO")</f>
        <v>NO APROBADO</v>
      </c>
      <c r="O408" t="str">
        <f>IF(Tabla1[[#This Row],[Repite compra?]]=1,"REPITE","NO REPITE")</f>
        <v>REPITE</v>
      </c>
      <c r="P408" t="str">
        <f>IF(Tabla1[[#This Row],[rating_segun encuesta a Consumidor]]&lt;5,"Regular",IF(Tabla1[[#This Row],[rating_segun encuesta a Consumidor]]&gt;8,"Excelente","Bueno"))</f>
        <v>Regular</v>
      </c>
    </row>
    <row r="409" spans="1:16" x14ac:dyDescent="0.35">
      <c r="A409" s="1">
        <v>43919</v>
      </c>
      <c r="B409">
        <v>4475</v>
      </c>
      <c r="C409" t="s">
        <v>15</v>
      </c>
      <c r="D409">
        <v>201</v>
      </c>
      <c r="E409">
        <v>72.12</v>
      </c>
      <c r="F409">
        <v>1</v>
      </c>
      <c r="G409" t="s">
        <v>36</v>
      </c>
      <c r="H409" t="s">
        <v>22</v>
      </c>
      <c r="I409" t="s">
        <v>35</v>
      </c>
      <c r="J409" t="s">
        <v>23</v>
      </c>
      <c r="K409">
        <v>5</v>
      </c>
      <c r="L409">
        <v>1</v>
      </c>
      <c r="M409" s="2">
        <f t="shared" si="6"/>
        <v>14496.12</v>
      </c>
      <c r="N409" s="2" t="str">
        <f>IF(Tabla1[[#This Row],[Aprobación_Veterinaria]]=1,"APROBADO","NO APROBADO")</f>
        <v>APROBADO</v>
      </c>
      <c r="O409" t="str">
        <f>IF(Tabla1[[#This Row],[Repite compra?]]=1,"REPITE","NO REPITE")</f>
        <v>REPITE</v>
      </c>
      <c r="P409" t="str">
        <f>IF(Tabla1[[#This Row],[rating_segun encuesta a Consumidor]]&lt;5,"Regular",IF(Tabla1[[#This Row],[rating_segun encuesta a Consumidor]]&gt;8,"Excelente","Bueno"))</f>
        <v>Bueno</v>
      </c>
    </row>
    <row r="410" spans="1:16" x14ac:dyDescent="0.35">
      <c r="A410" s="1">
        <v>43840</v>
      </c>
      <c r="B410">
        <v>4385</v>
      </c>
      <c r="C410" t="s">
        <v>43</v>
      </c>
      <c r="D410">
        <v>115</v>
      </c>
      <c r="E410">
        <v>180.108</v>
      </c>
      <c r="F410">
        <v>0</v>
      </c>
      <c r="G410" t="s">
        <v>37</v>
      </c>
      <c r="H410" t="s">
        <v>22</v>
      </c>
      <c r="I410" t="s">
        <v>35</v>
      </c>
      <c r="J410" t="s">
        <v>23</v>
      </c>
      <c r="K410">
        <v>9</v>
      </c>
      <c r="L410">
        <v>1</v>
      </c>
      <c r="M410" s="2">
        <f t="shared" si="6"/>
        <v>20712.420000000002</v>
      </c>
      <c r="N410" s="2" t="str">
        <f>IF(Tabla1[[#This Row],[Aprobación_Veterinaria]]=1,"APROBADO","NO APROBADO")</f>
        <v>NO APROBADO</v>
      </c>
      <c r="O410" t="str">
        <f>IF(Tabla1[[#This Row],[Repite compra?]]=1,"REPITE","NO REPITE")</f>
        <v>REPITE</v>
      </c>
      <c r="P410" t="str">
        <f>IF(Tabla1[[#This Row],[rating_segun encuesta a Consumidor]]&lt;5,"Regular",IF(Tabla1[[#This Row],[rating_segun encuesta a Consumidor]]&gt;8,"Excelente","Bueno"))</f>
        <v>Excelente</v>
      </c>
    </row>
    <row r="411" spans="1:16" x14ac:dyDescent="0.35">
      <c r="A411" s="1">
        <v>44185</v>
      </c>
      <c r="B411">
        <v>4382</v>
      </c>
      <c r="C411" t="s">
        <v>30</v>
      </c>
      <c r="D411">
        <v>25</v>
      </c>
      <c r="E411">
        <v>170.84399999999999</v>
      </c>
      <c r="F411">
        <v>0</v>
      </c>
      <c r="G411" t="s">
        <v>40</v>
      </c>
      <c r="H411" t="s">
        <v>22</v>
      </c>
      <c r="I411" t="s">
        <v>18</v>
      </c>
      <c r="J411" t="s">
        <v>29</v>
      </c>
      <c r="K411">
        <v>9</v>
      </c>
      <c r="L411">
        <v>0</v>
      </c>
      <c r="M411" s="2">
        <f t="shared" si="6"/>
        <v>4271.0999999999995</v>
      </c>
      <c r="N411" s="2" t="str">
        <f>IF(Tabla1[[#This Row],[Aprobación_Veterinaria]]=1,"APROBADO","NO APROBADO")</f>
        <v>NO APROBADO</v>
      </c>
      <c r="O411" t="str">
        <f>IF(Tabla1[[#This Row],[Repite compra?]]=1,"REPITE","NO REPITE")</f>
        <v>NO REPITE</v>
      </c>
      <c r="P411" t="str">
        <f>IF(Tabla1[[#This Row],[rating_segun encuesta a Consumidor]]&lt;5,"Regular",IF(Tabla1[[#This Row],[rating_segun encuesta a Consumidor]]&gt;8,"Excelente","Bueno"))</f>
        <v>Excelente</v>
      </c>
    </row>
    <row r="412" spans="1:16" x14ac:dyDescent="0.35">
      <c r="A412" s="1">
        <v>44160</v>
      </c>
      <c r="B412">
        <v>4318</v>
      </c>
      <c r="C412" t="s">
        <v>47</v>
      </c>
      <c r="D412">
        <v>36</v>
      </c>
      <c r="E412">
        <v>37.776000000000003</v>
      </c>
      <c r="F412">
        <v>0</v>
      </c>
      <c r="G412" t="s">
        <v>16</v>
      </c>
      <c r="H412" t="s">
        <v>22</v>
      </c>
      <c r="I412" t="s">
        <v>41</v>
      </c>
      <c r="J412" t="s">
        <v>29</v>
      </c>
      <c r="K412">
        <v>7</v>
      </c>
      <c r="L412">
        <v>1</v>
      </c>
      <c r="M412" s="2">
        <f t="shared" si="6"/>
        <v>1359.9360000000001</v>
      </c>
      <c r="N412" s="2" t="str">
        <f>IF(Tabla1[[#This Row],[Aprobación_Veterinaria]]=1,"APROBADO","NO APROBADO")</f>
        <v>NO APROBADO</v>
      </c>
      <c r="O412" t="str">
        <f>IF(Tabla1[[#This Row],[Repite compra?]]=1,"REPITE","NO REPITE")</f>
        <v>REPITE</v>
      </c>
      <c r="P412" t="str">
        <f>IF(Tabla1[[#This Row],[rating_segun encuesta a Consumidor]]&lt;5,"Regular",IF(Tabla1[[#This Row],[rating_segun encuesta a Consumidor]]&gt;8,"Excelente","Bueno"))</f>
        <v>Bueno</v>
      </c>
    </row>
    <row r="413" spans="1:16" x14ac:dyDescent="0.35">
      <c r="A413" s="1">
        <v>44096</v>
      </c>
      <c r="B413">
        <v>4678</v>
      </c>
      <c r="C413" t="s">
        <v>39</v>
      </c>
      <c r="D413">
        <v>131</v>
      </c>
      <c r="E413">
        <v>91.284000000000006</v>
      </c>
      <c r="F413">
        <v>1</v>
      </c>
      <c r="G413" t="s">
        <v>21</v>
      </c>
      <c r="H413" t="s">
        <v>22</v>
      </c>
      <c r="I413" t="s">
        <v>41</v>
      </c>
      <c r="J413" t="s">
        <v>29</v>
      </c>
      <c r="K413">
        <v>10</v>
      </c>
      <c r="L413">
        <v>1</v>
      </c>
      <c r="M413" s="2">
        <f t="shared" si="6"/>
        <v>11958.204000000002</v>
      </c>
      <c r="N413" s="2" t="str">
        <f>IF(Tabla1[[#This Row],[Aprobación_Veterinaria]]=1,"APROBADO","NO APROBADO")</f>
        <v>APROBADO</v>
      </c>
      <c r="O413" t="str">
        <f>IF(Tabla1[[#This Row],[Repite compra?]]=1,"REPITE","NO REPITE")</f>
        <v>REPITE</v>
      </c>
      <c r="P413" t="str">
        <f>IF(Tabla1[[#This Row],[rating_segun encuesta a Consumidor]]&lt;5,"Regular",IF(Tabla1[[#This Row],[rating_segun encuesta a Consumidor]]&gt;8,"Excelente","Bueno"))</f>
        <v>Excelente</v>
      </c>
    </row>
    <row r="414" spans="1:16" x14ac:dyDescent="0.35">
      <c r="A414" s="1">
        <v>43918</v>
      </c>
      <c r="B414">
        <v>4652</v>
      </c>
      <c r="C414" t="s">
        <v>46</v>
      </c>
      <c r="D414">
        <v>214</v>
      </c>
      <c r="E414">
        <v>89.531999999999996</v>
      </c>
      <c r="F414">
        <v>0</v>
      </c>
      <c r="G414" t="s">
        <v>24</v>
      </c>
      <c r="H414" t="s">
        <v>22</v>
      </c>
      <c r="I414" t="s">
        <v>18</v>
      </c>
      <c r="J414" t="s">
        <v>29</v>
      </c>
      <c r="K414">
        <v>10</v>
      </c>
      <c r="L414">
        <v>0</v>
      </c>
      <c r="M414" s="2">
        <f t="shared" si="6"/>
        <v>19159.847999999998</v>
      </c>
      <c r="N414" s="2" t="str">
        <f>IF(Tabla1[[#This Row],[Aprobación_Veterinaria]]=1,"APROBADO","NO APROBADO")</f>
        <v>NO APROBADO</v>
      </c>
      <c r="O414" t="str">
        <f>IF(Tabla1[[#This Row],[Repite compra?]]=1,"REPITE","NO REPITE")</f>
        <v>NO REPITE</v>
      </c>
      <c r="P414" t="str">
        <f>IF(Tabla1[[#This Row],[rating_segun encuesta a Consumidor]]&lt;5,"Regular",IF(Tabla1[[#This Row],[rating_segun encuesta a Consumidor]]&gt;8,"Excelente","Bueno"))</f>
        <v>Excelente</v>
      </c>
    </row>
    <row r="415" spans="1:16" x14ac:dyDescent="0.35">
      <c r="A415" s="1">
        <v>44045</v>
      </c>
      <c r="B415">
        <v>4860</v>
      </c>
      <c r="C415" t="s">
        <v>15</v>
      </c>
      <c r="D415">
        <v>191</v>
      </c>
      <c r="E415">
        <v>16.116</v>
      </c>
      <c r="F415">
        <v>0</v>
      </c>
      <c r="G415" t="s">
        <v>27</v>
      </c>
      <c r="H415" t="s">
        <v>44</v>
      </c>
      <c r="I415" t="s">
        <v>18</v>
      </c>
      <c r="J415" t="s">
        <v>29</v>
      </c>
      <c r="K415">
        <v>1</v>
      </c>
      <c r="L415">
        <v>1</v>
      </c>
      <c r="M415" s="2">
        <f t="shared" si="6"/>
        <v>3078.1559999999999</v>
      </c>
      <c r="N415" s="2" t="str">
        <f>IF(Tabla1[[#This Row],[Aprobación_Veterinaria]]=1,"APROBADO","NO APROBADO")</f>
        <v>NO APROBADO</v>
      </c>
      <c r="O415" t="str">
        <f>IF(Tabla1[[#This Row],[Repite compra?]]=1,"REPITE","NO REPITE")</f>
        <v>REPITE</v>
      </c>
      <c r="P415" t="str">
        <f>IF(Tabla1[[#This Row],[rating_segun encuesta a Consumidor]]&lt;5,"Regular",IF(Tabla1[[#This Row],[rating_segun encuesta a Consumidor]]&gt;8,"Excelente","Bueno"))</f>
        <v>Regular</v>
      </c>
    </row>
    <row r="416" spans="1:16" x14ac:dyDescent="0.35">
      <c r="A416" s="1">
        <v>43831</v>
      </c>
      <c r="B416">
        <v>4821</v>
      </c>
      <c r="C416" t="s">
        <v>15</v>
      </c>
      <c r="D416">
        <v>144</v>
      </c>
      <c r="E416">
        <v>222.54</v>
      </c>
      <c r="F416">
        <v>1</v>
      </c>
      <c r="G416" t="s">
        <v>31</v>
      </c>
      <c r="H416" t="s">
        <v>48</v>
      </c>
      <c r="I416" t="s">
        <v>41</v>
      </c>
      <c r="J416" t="s">
        <v>23</v>
      </c>
      <c r="K416">
        <v>2</v>
      </c>
      <c r="L416">
        <v>1</v>
      </c>
      <c r="M416" s="2">
        <f t="shared" si="6"/>
        <v>32045.759999999998</v>
      </c>
      <c r="N416" s="2" t="str">
        <f>IF(Tabla1[[#This Row],[Aprobación_Veterinaria]]=1,"APROBADO","NO APROBADO")</f>
        <v>APROBADO</v>
      </c>
      <c r="O416" t="str">
        <f>IF(Tabla1[[#This Row],[Repite compra?]]=1,"REPITE","NO REPITE")</f>
        <v>REPITE</v>
      </c>
      <c r="P416" t="str">
        <f>IF(Tabla1[[#This Row],[rating_segun encuesta a Consumidor]]&lt;5,"Regular",IF(Tabla1[[#This Row],[rating_segun encuesta a Consumidor]]&gt;8,"Excelente","Bueno"))</f>
        <v>Regular</v>
      </c>
    </row>
    <row r="417" spans="1:16" x14ac:dyDescent="0.35">
      <c r="A417" s="1">
        <v>44078</v>
      </c>
      <c r="B417">
        <v>4175</v>
      </c>
      <c r="C417" t="s">
        <v>47</v>
      </c>
      <c r="D417">
        <v>83</v>
      </c>
      <c r="E417">
        <v>29.472000000000001</v>
      </c>
      <c r="F417">
        <v>1</v>
      </c>
      <c r="G417" t="s">
        <v>33</v>
      </c>
      <c r="H417" t="s">
        <v>22</v>
      </c>
      <c r="I417" t="s">
        <v>35</v>
      </c>
      <c r="J417" t="s">
        <v>19</v>
      </c>
      <c r="K417">
        <v>7</v>
      </c>
      <c r="L417">
        <v>0</v>
      </c>
      <c r="M417" s="2">
        <f t="shared" si="6"/>
        <v>2446.1759999999999</v>
      </c>
      <c r="N417" s="2" t="str">
        <f>IF(Tabla1[[#This Row],[Aprobación_Veterinaria]]=1,"APROBADO","NO APROBADO")</f>
        <v>APROBADO</v>
      </c>
      <c r="O417" t="str">
        <f>IF(Tabla1[[#This Row],[Repite compra?]]=1,"REPITE","NO REPITE")</f>
        <v>NO REPITE</v>
      </c>
      <c r="P417" t="str">
        <f>IF(Tabla1[[#This Row],[rating_segun encuesta a Consumidor]]&lt;5,"Regular",IF(Tabla1[[#This Row],[rating_segun encuesta a Consumidor]]&gt;8,"Excelente","Bueno"))</f>
        <v>Bueno</v>
      </c>
    </row>
    <row r="418" spans="1:16" x14ac:dyDescent="0.35">
      <c r="A418" s="1">
        <v>44067</v>
      </c>
      <c r="B418">
        <v>4195</v>
      </c>
      <c r="C418" t="s">
        <v>30</v>
      </c>
      <c r="D418">
        <v>211</v>
      </c>
      <c r="E418">
        <v>211.65600000000001</v>
      </c>
      <c r="F418">
        <v>0</v>
      </c>
      <c r="G418" t="s">
        <v>34</v>
      </c>
      <c r="H418" t="s">
        <v>22</v>
      </c>
      <c r="I418" t="s">
        <v>35</v>
      </c>
      <c r="J418" t="s">
        <v>25</v>
      </c>
      <c r="K418">
        <v>5</v>
      </c>
      <c r="L418">
        <v>1</v>
      </c>
      <c r="M418" s="2">
        <f t="shared" si="6"/>
        <v>44659.416000000005</v>
      </c>
      <c r="N418" s="2" t="str">
        <f>IF(Tabla1[[#This Row],[Aprobación_Veterinaria]]=1,"APROBADO","NO APROBADO")</f>
        <v>NO APROBADO</v>
      </c>
      <c r="O418" t="str">
        <f>IF(Tabla1[[#This Row],[Repite compra?]]=1,"REPITE","NO REPITE")</f>
        <v>REPITE</v>
      </c>
      <c r="P418" t="str">
        <f>IF(Tabla1[[#This Row],[rating_segun encuesta a Consumidor]]&lt;5,"Regular",IF(Tabla1[[#This Row],[rating_segun encuesta a Consumidor]]&gt;8,"Excelente","Bueno"))</f>
        <v>Bueno</v>
      </c>
    </row>
    <row r="419" spans="1:16" x14ac:dyDescent="0.35">
      <c r="A419" s="1">
        <v>44107</v>
      </c>
      <c r="B419">
        <v>4732</v>
      </c>
      <c r="C419" t="s">
        <v>39</v>
      </c>
      <c r="D419">
        <v>39</v>
      </c>
      <c r="E419">
        <v>179.44800000000001</v>
      </c>
      <c r="F419">
        <v>1</v>
      </c>
      <c r="G419" t="s">
        <v>36</v>
      </c>
      <c r="H419" t="s">
        <v>38</v>
      </c>
      <c r="I419" t="s">
        <v>18</v>
      </c>
      <c r="J419" t="s">
        <v>29</v>
      </c>
      <c r="K419">
        <v>7</v>
      </c>
      <c r="L419">
        <v>0</v>
      </c>
      <c r="M419" s="2">
        <f t="shared" si="6"/>
        <v>6998.4720000000007</v>
      </c>
      <c r="N419" s="2" t="str">
        <f>IF(Tabla1[[#This Row],[Aprobación_Veterinaria]]=1,"APROBADO","NO APROBADO")</f>
        <v>APROBADO</v>
      </c>
      <c r="O419" t="str">
        <f>IF(Tabla1[[#This Row],[Repite compra?]]=1,"REPITE","NO REPITE")</f>
        <v>NO REPITE</v>
      </c>
      <c r="P419" t="str">
        <f>IF(Tabla1[[#This Row],[rating_segun encuesta a Consumidor]]&lt;5,"Regular",IF(Tabla1[[#This Row],[rating_segun encuesta a Consumidor]]&gt;8,"Excelente","Bueno"))</f>
        <v>Bueno</v>
      </c>
    </row>
    <row r="420" spans="1:16" x14ac:dyDescent="0.35">
      <c r="A420" s="1">
        <v>44076</v>
      </c>
      <c r="B420">
        <v>4725</v>
      </c>
      <c r="C420" t="s">
        <v>43</v>
      </c>
      <c r="D420">
        <v>195</v>
      </c>
      <c r="E420">
        <v>224.316</v>
      </c>
      <c r="F420">
        <v>1</v>
      </c>
      <c r="G420" t="s">
        <v>37</v>
      </c>
      <c r="H420" t="s">
        <v>44</v>
      </c>
      <c r="I420" t="s">
        <v>41</v>
      </c>
      <c r="J420" t="s">
        <v>23</v>
      </c>
      <c r="K420">
        <v>10</v>
      </c>
      <c r="L420">
        <v>1</v>
      </c>
      <c r="M420" s="2">
        <f t="shared" si="6"/>
        <v>43741.62</v>
      </c>
      <c r="N420" s="2" t="str">
        <f>IF(Tabla1[[#This Row],[Aprobación_Veterinaria]]=1,"APROBADO","NO APROBADO")</f>
        <v>APROBADO</v>
      </c>
      <c r="O420" t="str">
        <f>IF(Tabla1[[#This Row],[Repite compra?]]=1,"REPITE","NO REPITE")</f>
        <v>REPITE</v>
      </c>
      <c r="P420" t="str">
        <f>IF(Tabla1[[#This Row],[rating_segun encuesta a Consumidor]]&lt;5,"Regular",IF(Tabla1[[#This Row],[rating_segun encuesta a Consumidor]]&gt;8,"Excelente","Bueno"))</f>
        <v>Excelente</v>
      </c>
    </row>
    <row r="421" spans="1:16" x14ac:dyDescent="0.35">
      <c r="A421" s="1">
        <v>44089</v>
      </c>
      <c r="B421">
        <v>4921</v>
      </c>
      <c r="C421" t="s">
        <v>26</v>
      </c>
      <c r="D421">
        <v>12</v>
      </c>
      <c r="E421">
        <v>189.684</v>
      </c>
      <c r="F421">
        <v>1</v>
      </c>
      <c r="G421" t="s">
        <v>40</v>
      </c>
      <c r="H421" t="s">
        <v>48</v>
      </c>
      <c r="I421" t="s">
        <v>41</v>
      </c>
      <c r="J421" t="s">
        <v>23</v>
      </c>
      <c r="K421">
        <v>6</v>
      </c>
      <c r="L421">
        <v>0</v>
      </c>
      <c r="M421" s="2">
        <f t="shared" si="6"/>
        <v>2276.2080000000001</v>
      </c>
      <c r="N421" s="2" t="str">
        <f>IF(Tabla1[[#This Row],[Aprobación_Veterinaria]]=1,"APROBADO","NO APROBADO")</f>
        <v>APROBADO</v>
      </c>
      <c r="O421" t="str">
        <f>IF(Tabla1[[#This Row],[Repite compra?]]=1,"REPITE","NO REPITE")</f>
        <v>NO REPITE</v>
      </c>
      <c r="P421" t="str">
        <f>IF(Tabla1[[#This Row],[rating_segun encuesta a Consumidor]]&lt;5,"Regular",IF(Tabla1[[#This Row],[rating_segun encuesta a Consumidor]]&gt;8,"Excelente","Bueno"))</f>
        <v>Bueno</v>
      </c>
    </row>
    <row r="422" spans="1:16" x14ac:dyDescent="0.35">
      <c r="A422" s="1">
        <v>43941</v>
      </c>
      <c r="B422">
        <v>4707</v>
      </c>
      <c r="C422" t="s">
        <v>43</v>
      </c>
      <c r="D422">
        <v>38</v>
      </c>
      <c r="E422">
        <v>81.048000000000002</v>
      </c>
      <c r="F422">
        <v>1</v>
      </c>
      <c r="G422" t="s">
        <v>16</v>
      </c>
      <c r="H422" t="s">
        <v>38</v>
      </c>
      <c r="I422" t="s">
        <v>41</v>
      </c>
      <c r="J422" t="s">
        <v>23</v>
      </c>
      <c r="K422">
        <v>10</v>
      </c>
      <c r="L422">
        <v>0</v>
      </c>
      <c r="M422" s="2">
        <f t="shared" si="6"/>
        <v>3079.8240000000001</v>
      </c>
      <c r="N422" s="2" t="str">
        <f>IF(Tabla1[[#This Row],[Aprobación_Veterinaria]]=1,"APROBADO","NO APROBADO")</f>
        <v>APROBADO</v>
      </c>
      <c r="O422" t="str">
        <f>IF(Tabla1[[#This Row],[Repite compra?]]=1,"REPITE","NO REPITE")</f>
        <v>NO REPITE</v>
      </c>
      <c r="P422" t="str">
        <f>IF(Tabla1[[#This Row],[rating_segun encuesta a Consumidor]]&lt;5,"Regular",IF(Tabla1[[#This Row],[rating_segun encuesta a Consumidor]]&gt;8,"Excelente","Bueno"))</f>
        <v>Excelente</v>
      </c>
    </row>
    <row r="423" spans="1:16" x14ac:dyDescent="0.35">
      <c r="A423" s="1">
        <v>44030</v>
      </c>
      <c r="B423">
        <v>4412</v>
      </c>
      <c r="C423" t="s">
        <v>42</v>
      </c>
      <c r="D423">
        <v>13</v>
      </c>
      <c r="E423">
        <v>91.992000000000004</v>
      </c>
      <c r="F423">
        <v>0</v>
      </c>
      <c r="G423" t="s">
        <v>21</v>
      </c>
      <c r="H423" t="s">
        <v>22</v>
      </c>
      <c r="I423" t="s">
        <v>18</v>
      </c>
      <c r="J423" t="s">
        <v>29</v>
      </c>
      <c r="K423">
        <v>1</v>
      </c>
      <c r="L423">
        <v>0</v>
      </c>
      <c r="M423" s="2">
        <f t="shared" si="6"/>
        <v>1195.896</v>
      </c>
      <c r="N423" s="2" t="str">
        <f>IF(Tabla1[[#This Row],[Aprobación_Veterinaria]]=1,"APROBADO","NO APROBADO")</f>
        <v>NO APROBADO</v>
      </c>
      <c r="O423" t="str">
        <f>IF(Tabla1[[#This Row],[Repite compra?]]=1,"REPITE","NO REPITE")</f>
        <v>NO REPITE</v>
      </c>
      <c r="P423" t="str">
        <f>IF(Tabla1[[#This Row],[rating_segun encuesta a Consumidor]]&lt;5,"Regular",IF(Tabla1[[#This Row],[rating_segun encuesta a Consumidor]]&gt;8,"Excelente","Bueno"))</f>
        <v>Regular</v>
      </c>
    </row>
    <row r="424" spans="1:16" x14ac:dyDescent="0.35">
      <c r="A424" s="1">
        <v>43929</v>
      </c>
      <c r="B424">
        <v>4946</v>
      </c>
      <c r="C424" t="s">
        <v>20</v>
      </c>
      <c r="D424">
        <v>47</v>
      </c>
      <c r="E424">
        <v>177.828</v>
      </c>
      <c r="F424">
        <v>0</v>
      </c>
      <c r="G424" t="s">
        <v>24</v>
      </c>
      <c r="H424" t="s">
        <v>48</v>
      </c>
      <c r="I424" t="s">
        <v>18</v>
      </c>
      <c r="J424" t="s">
        <v>29</v>
      </c>
      <c r="K424">
        <v>6</v>
      </c>
      <c r="L424">
        <v>0</v>
      </c>
      <c r="M424" s="2">
        <f t="shared" si="6"/>
        <v>8357.9159999999993</v>
      </c>
      <c r="N424" s="2" t="str">
        <f>IF(Tabla1[[#This Row],[Aprobación_Veterinaria]]=1,"APROBADO","NO APROBADO")</f>
        <v>NO APROBADO</v>
      </c>
      <c r="O424" t="str">
        <f>IF(Tabla1[[#This Row],[Repite compra?]]=1,"REPITE","NO REPITE")</f>
        <v>NO REPITE</v>
      </c>
      <c r="P424" t="str">
        <f>IF(Tabla1[[#This Row],[rating_segun encuesta a Consumidor]]&lt;5,"Regular",IF(Tabla1[[#This Row],[rating_segun encuesta a Consumidor]]&gt;8,"Excelente","Bueno"))</f>
        <v>Bueno</v>
      </c>
    </row>
    <row r="425" spans="1:16" x14ac:dyDescent="0.35">
      <c r="A425" s="1">
        <v>44145</v>
      </c>
      <c r="B425">
        <v>4760</v>
      </c>
      <c r="C425" t="s">
        <v>30</v>
      </c>
      <c r="D425">
        <v>71</v>
      </c>
      <c r="E425">
        <v>138.61199999999999</v>
      </c>
      <c r="F425">
        <v>1</v>
      </c>
      <c r="G425" t="s">
        <v>27</v>
      </c>
      <c r="H425" t="s">
        <v>44</v>
      </c>
      <c r="I425" t="s">
        <v>18</v>
      </c>
      <c r="J425" t="s">
        <v>29</v>
      </c>
      <c r="K425">
        <v>7</v>
      </c>
      <c r="L425">
        <v>0</v>
      </c>
      <c r="M425" s="2">
        <f t="shared" si="6"/>
        <v>9841.4519999999993</v>
      </c>
      <c r="N425" s="2" t="str">
        <f>IF(Tabla1[[#This Row],[Aprobación_Veterinaria]]=1,"APROBADO","NO APROBADO")</f>
        <v>APROBADO</v>
      </c>
      <c r="O425" t="str">
        <f>IF(Tabla1[[#This Row],[Repite compra?]]=1,"REPITE","NO REPITE")</f>
        <v>NO REPITE</v>
      </c>
      <c r="P425" t="str">
        <f>IF(Tabla1[[#This Row],[rating_segun encuesta a Consumidor]]&lt;5,"Regular",IF(Tabla1[[#This Row],[rating_segun encuesta a Consumidor]]&gt;8,"Excelente","Bueno"))</f>
        <v>Bueno</v>
      </c>
    </row>
    <row r="426" spans="1:16" x14ac:dyDescent="0.35">
      <c r="A426" s="1">
        <v>43980</v>
      </c>
      <c r="B426">
        <v>4794</v>
      </c>
      <c r="C426" t="s">
        <v>15</v>
      </c>
      <c r="D426">
        <v>96</v>
      </c>
      <c r="E426">
        <v>44.172000000000004</v>
      </c>
      <c r="F426">
        <v>0</v>
      </c>
      <c r="G426" t="s">
        <v>31</v>
      </c>
      <c r="H426" t="s">
        <v>54</v>
      </c>
      <c r="I426" t="s">
        <v>18</v>
      </c>
      <c r="J426" t="s">
        <v>29</v>
      </c>
      <c r="K426">
        <v>7</v>
      </c>
      <c r="L426">
        <v>1</v>
      </c>
      <c r="M426" s="2">
        <f t="shared" si="6"/>
        <v>4240.5120000000006</v>
      </c>
      <c r="N426" s="2" t="str">
        <f>IF(Tabla1[[#This Row],[Aprobación_Veterinaria]]=1,"APROBADO","NO APROBADO")</f>
        <v>NO APROBADO</v>
      </c>
      <c r="O426" t="str">
        <f>IF(Tabla1[[#This Row],[Repite compra?]]=1,"REPITE","NO REPITE")</f>
        <v>REPITE</v>
      </c>
      <c r="P426" t="str">
        <f>IF(Tabla1[[#This Row],[rating_segun encuesta a Consumidor]]&lt;5,"Regular",IF(Tabla1[[#This Row],[rating_segun encuesta a Consumidor]]&gt;8,"Excelente","Bueno"))</f>
        <v>Bueno</v>
      </c>
    </row>
    <row r="427" spans="1:16" x14ac:dyDescent="0.35">
      <c r="A427" s="1">
        <v>44112</v>
      </c>
      <c r="B427">
        <v>4795</v>
      </c>
      <c r="C427" t="s">
        <v>26</v>
      </c>
      <c r="D427">
        <v>16</v>
      </c>
      <c r="E427">
        <v>5.4</v>
      </c>
      <c r="F427">
        <v>1</v>
      </c>
      <c r="G427" t="s">
        <v>33</v>
      </c>
      <c r="H427" t="s">
        <v>44</v>
      </c>
      <c r="I427" t="s">
        <v>41</v>
      </c>
      <c r="J427" t="s">
        <v>23</v>
      </c>
      <c r="K427">
        <v>7</v>
      </c>
      <c r="L427">
        <v>1</v>
      </c>
      <c r="M427" s="2">
        <f t="shared" si="6"/>
        <v>86.4</v>
      </c>
      <c r="N427" s="2" t="str">
        <f>IF(Tabla1[[#This Row],[Aprobación_Veterinaria]]=1,"APROBADO","NO APROBADO")</f>
        <v>APROBADO</v>
      </c>
      <c r="O427" t="str">
        <f>IF(Tabla1[[#This Row],[Repite compra?]]=1,"REPITE","NO REPITE")</f>
        <v>REPITE</v>
      </c>
      <c r="P427" t="str">
        <f>IF(Tabla1[[#This Row],[rating_segun encuesta a Consumidor]]&lt;5,"Regular",IF(Tabla1[[#This Row],[rating_segun encuesta a Consumidor]]&gt;8,"Excelente","Bueno"))</f>
        <v>Bueno</v>
      </c>
    </row>
    <row r="428" spans="1:16" x14ac:dyDescent="0.35">
      <c r="A428" s="1">
        <v>44094</v>
      </c>
      <c r="B428">
        <v>4820</v>
      </c>
      <c r="C428" t="s">
        <v>20</v>
      </c>
      <c r="D428">
        <v>132</v>
      </c>
      <c r="E428">
        <v>197.79599999999999</v>
      </c>
      <c r="F428">
        <v>0</v>
      </c>
      <c r="G428" t="s">
        <v>34</v>
      </c>
      <c r="H428" t="s">
        <v>44</v>
      </c>
      <c r="I428" t="s">
        <v>18</v>
      </c>
      <c r="J428" t="s">
        <v>29</v>
      </c>
      <c r="K428">
        <v>2</v>
      </c>
      <c r="L428">
        <v>1</v>
      </c>
      <c r="M428" s="2">
        <f t="shared" si="6"/>
        <v>26109.072</v>
      </c>
      <c r="N428" s="2" t="str">
        <f>IF(Tabla1[[#This Row],[Aprobación_Veterinaria]]=1,"APROBADO","NO APROBADO")</f>
        <v>NO APROBADO</v>
      </c>
      <c r="O428" t="str">
        <f>IF(Tabla1[[#This Row],[Repite compra?]]=1,"REPITE","NO REPITE")</f>
        <v>REPITE</v>
      </c>
      <c r="P428" t="str">
        <f>IF(Tabla1[[#This Row],[rating_segun encuesta a Consumidor]]&lt;5,"Regular",IF(Tabla1[[#This Row],[rating_segun encuesta a Consumidor]]&gt;8,"Excelente","Bueno"))</f>
        <v>Regular</v>
      </c>
    </row>
    <row r="429" spans="1:16" x14ac:dyDescent="0.35">
      <c r="A429" s="1">
        <v>43968</v>
      </c>
      <c r="B429">
        <v>4929</v>
      </c>
      <c r="C429" t="s">
        <v>15</v>
      </c>
      <c r="D429">
        <v>128</v>
      </c>
      <c r="E429">
        <v>53.771999999999998</v>
      </c>
      <c r="F429">
        <v>0</v>
      </c>
      <c r="G429" t="s">
        <v>36</v>
      </c>
      <c r="H429" t="s">
        <v>54</v>
      </c>
      <c r="I429" t="s">
        <v>41</v>
      </c>
      <c r="J429" t="s">
        <v>23</v>
      </c>
      <c r="K429">
        <v>6</v>
      </c>
      <c r="L429">
        <v>0</v>
      </c>
      <c r="M429" s="2">
        <f t="shared" si="6"/>
        <v>6882.8159999999998</v>
      </c>
      <c r="N429" s="2" t="str">
        <f>IF(Tabla1[[#This Row],[Aprobación_Veterinaria]]=1,"APROBADO","NO APROBADO")</f>
        <v>NO APROBADO</v>
      </c>
      <c r="O429" t="str">
        <f>IF(Tabla1[[#This Row],[Repite compra?]]=1,"REPITE","NO REPITE")</f>
        <v>NO REPITE</v>
      </c>
      <c r="P429" t="str">
        <f>IF(Tabla1[[#This Row],[rating_segun encuesta a Consumidor]]&lt;5,"Regular",IF(Tabla1[[#This Row],[rating_segun encuesta a Consumidor]]&gt;8,"Excelente","Bueno"))</f>
        <v>Bueno</v>
      </c>
    </row>
    <row r="430" spans="1:16" x14ac:dyDescent="0.35">
      <c r="A430" s="1">
        <v>43900</v>
      </c>
      <c r="B430">
        <v>4353</v>
      </c>
      <c r="C430" t="s">
        <v>26</v>
      </c>
      <c r="D430">
        <v>39</v>
      </c>
      <c r="E430">
        <v>39.828000000000003</v>
      </c>
      <c r="F430">
        <v>1</v>
      </c>
      <c r="G430" t="s">
        <v>37</v>
      </c>
      <c r="H430" t="s">
        <v>22</v>
      </c>
      <c r="I430" t="s">
        <v>41</v>
      </c>
      <c r="J430" t="s">
        <v>23</v>
      </c>
      <c r="K430">
        <v>3</v>
      </c>
      <c r="L430">
        <v>1</v>
      </c>
      <c r="M430" s="2">
        <f t="shared" si="6"/>
        <v>1553.2920000000001</v>
      </c>
      <c r="N430" s="2" t="str">
        <f>IF(Tabla1[[#This Row],[Aprobación_Veterinaria]]=1,"APROBADO","NO APROBADO")</f>
        <v>APROBADO</v>
      </c>
      <c r="O430" t="str">
        <f>IF(Tabla1[[#This Row],[Repite compra?]]=1,"REPITE","NO REPITE")</f>
        <v>REPITE</v>
      </c>
      <c r="P430" t="str">
        <f>IF(Tabla1[[#This Row],[rating_segun encuesta a Consumidor]]&lt;5,"Regular",IF(Tabla1[[#This Row],[rating_segun encuesta a Consumidor]]&gt;8,"Excelente","Bueno"))</f>
        <v>Regular</v>
      </c>
    </row>
    <row r="431" spans="1:16" x14ac:dyDescent="0.35">
      <c r="A431" s="1">
        <v>43946</v>
      </c>
      <c r="B431">
        <v>4225</v>
      </c>
      <c r="C431" t="s">
        <v>42</v>
      </c>
      <c r="D431">
        <v>163</v>
      </c>
      <c r="E431">
        <v>183.88800000000001</v>
      </c>
      <c r="F431">
        <v>1</v>
      </c>
      <c r="G431" t="s">
        <v>40</v>
      </c>
      <c r="H431" t="s">
        <v>22</v>
      </c>
      <c r="I431" t="s">
        <v>35</v>
      </c>
      <c r="J431" t="s">
        <v>25</v>
      </c>
      <c r="K431">
        <v>3</v>
      </c>
      <c r="L431">
        <v>0</v>
      </c>
      <c r="M431" s="2">
        <f t="shared" si="6"/>
        <v>29973.744000000002</v>
      </c>
      <c r="N431" s="2" t="str">
        <f>IF(Tabla1[[#This Row],[Aprobación_Veterinaria]]=1,"APROBADO","NO APROBADO")</f>
        <v>APROBADO</v>
      </c>
      <c r="O431" t="str">
        <f>IF(Tabla1[[#This Row],[Repite compra?]]=1,"REPITE","NO REPITE")</f>
        <v>NO REPITE</v>
      </c>
      <c r="P431" t="str">
        <f>IF(Tabla1[[#This Row],[rating_segun encuesta a Consumidor]]&lt;5,"Regular",IF(Tabla1[[#This Row],[rating_segun encuesta a Consumidor]]&gt;8,"Excelente","Bueno"))</f>
        <v>Regular</v>
      </c>
    </row>
    <row r="432" spans="1:16" x14ac:dyDescent="0.35">
      <c r="A432" s="1">
        <v>44033</v>
      </c>
      <c r="B432">
        <v>4782</v>
      </c>
      <c r="C432" t="s">
        <v>15</v>
      </c>
      <c r="D432">
        <v>117</v>
      </c>
      <c r="E432">
        <v>197.49600000000001</v>
      </c>
      <c r="F432">
        <v>0</v>
      </c>
      <c r="G432" t="s">
        <v>16</v>
      </c>
      <c r="H432" t="s">
        <v>38</v>
      </c>
      <c r="I432" t="s">
        <v>18</v>
      </c>
      <c r="J432" t="s">
        <v>29</v>
      </c>
      <c r="K432">
        <v>7</v>
      </c>
      <c r="L432">
        <v>0</v>
      </c>
      <c r="M432" s="2">
        <f t="shared" si="6"/>
        <v>23107.032000000003</v>
      </c>
      <c r="N432" s="2" t="str">
        <f>IF(Tabla1[[#This Row],[Aprobación_Veterinaria]]=1,"APROBADO","NO APROBADO")</f>
        <v>NO APROBADO</v>
      </c>
      <c r="O432" t="str">
        <f>IF(Tabla1[[#This Row],[Repite compra?]]=1,"REPITE","NO REPITE")</f>
        <v>NO REPITE</v>
      </c>
      <c r="P432" t="str">
        <f>IF(Tabla1[[#This Row],[rating_segun encuesta a Consumidor]]&lt;5,"Regular",IF(Tabla1[[#This Row],[rating_segun encuesta a Consumidor]]&gt;8,"Excelente","Bueno"))</f>
        <v>Bueno</v>
      </c>
    </row>
    <row r="433" spans="1:16" x14ac:dyDescent="0.35">
      <c r="A433" s="1">
        <v>44180</v>
      </c>
      <c r="B433">
        <v>4545</v>
      </c>
      <c r="C433" t="s">
        <v>20</v>
      </c>
      <c r="D433">
        <v>202</v>
      </c>
      <c r="E433">
        <v>47.015999999999998</v>
      </c>
      <c r="F433">
        <v>0</v>
      </c>
      <c r="G433" t="s">
        <v>21</v>
      </c>
      <c r="H433" t="s">
        <v>22</v>
      </c>
      <c r="I433" t="s">
        <v>35</v>
      </c>
      <c r="J433" t="s">
        <v>23</v>
      </c>
      <c r="K433">
        <v>10</v>
      </c>
      <c r="L433">
        <v>0</v>
      </c>
      <c r="M433" s="2">
        <f t="shared" si="6"/>
        <v>9497.232</v>
      </c>
      <c r="N433" s="2" t="str">
        <f>IF(Tabla1[[#This Row],[Aprobación_Veterinaria]]=1,"APROBADO","NO APROBADO")</f>
        <v>NO APROBADO</v>
      </c>
      <c r="O433" t="str">
        <f>IF(Tabla1[[#This Row],[Repite compra?]]=1,"REPITE","NO REPITE")</f>
        <v>NO REPITE</v>
      </c>
      <c r="P433" t="str">
        <f>IF(Tabla1[[#This Row],[rating_segun encuesta a Consumidor]]&lt;5,"Regular",IF(Tabla1[[#This Row],[rating_segun encuesta a Consumidor]]&gt;8,"Excelente","Bueno"))</f>
        <v>Excelente</v>
      </c>
    </row>
    <row r="434" spans="1:16" x14ac:dyDescent="0.35">
      <c r="A434" s="1">
        <v>43872</v>
      </c>
      <c r="B434">
        <v>4797</v>
      </c>
      <c r="C434" t="s">
        <v>15</v>
      </c>
      <c r="D434">
        <v>189</v>
      </c>
      <c r="E434">
        <v>22.248000000000001</v>
      </c>
      <c r="F434">
        <v>0</v>
      </c>
      <c r="G434" t="s">
        <v>24</v>
      </c>
      <c r="H434" t="s">
        <v>38</v>
      </c>
      <c r="I434" t="s">
        <v>41</v>
      </c>
      <c r="J434" t="s">
        <v>23</v>
      </c>
      <c r="K434">
        <v>7</v>
      </c>
      <c r="L434">
        <v>1</v>
      </c>
      <c r="M434" s="2">
        <f t="shared" si="6"/>
        <v>4204.8720000000003</v>
      </c>
      <c r="N434" s="2" t="str">
        <f>IF(Tabla1[[#This Row],[Aprobación_Veterinaria]]=1,"APROBADO","NO APROBADO")</f>
        <v>NO APROBADO</v>
      </c>
      <c r="O434" t="str">
        <f>IF(Tabla1[[#This Row],[Repite compra?]]=1,"REPITE","NO REPITE")</f>
        <v>REPITE</v>
      </c>
      <c r="P434" t="str">
        <f>IF(Tabla1[[#This Row],[rating_segun encuesta a Consumidor]]&lt;5,"Regular",IF(Tabla1[[#This Row],[rating_segun encuesta a Consumidor]]&gt;8,"Excelente","Bueno"))</f>
        <v>Bueno</v>
      </c>
    </row>
    <row r="435" spans="1:16" x14ac:dyDescent="0.35">
      <c r="A435" s="1">
        <v>44072</v>
      </c>
      <c r="B435">
        <v>4610</v>
      </c>
      <c r="C435" t="s">
        <v>42</v>
      </c>
      <c r="D435">
        <v>119</v>
      </c>
      <c r="E435">
        <v>232.90800000000002</v>
      </c>
      <c r="F435">
        <v>1</v>
      </c>
      <c r="G435" t="s">
        <v>27</v>
      </c>
      <c r="H435" t="s">
        <v>22</v>
      </c>
      <c r="I435" t="s">
        <v>35</v>
      </c>
      <c r="J435" t="s">
        <v>29</v>
      </c>
      <c r="K435">
        <v>10</v>
      </c>
      <c r="L435">
        <v>0</v>
      </c>
      <c r="M435" s="2">
        <f t="shared" si="6"/>
        <v>27716.052000000003</v>
      </c>
      <c r="N435" s="2" t="str">
        <f>IF(Tabla1[[#This Row],[Aprobación_Veterinaria]]=1,"APROBADO","NO APROBADO")</f>
        <v>APROBADO</v>
      </c>
      <c r="O435" t="str">
        <f>IF(Tabla1[[#This Row],[Repite compra?]]=1,"REPITE","NO REPITE")</f>
        <v>NO REPITE</v>
      </c>
      <c r="P435" t="str">
        <f>IF(Tabla1[[#This Row],[rating_segun encuesta a Consumidor]]&lt;5,"Regular",IF(Tabla1[[#This Row],[rating_segun encuesta a Consumidor]]&gt;8,"Excelente","Bueno"))</f>
        <v>Excelente</v>
      </c>
    </row>
    <row r="436" spans="1:16" x14ac:dyDescent="0.35">
      <c r="A436" s="1">
        <v>44108</v>
      </c>
      <c r="B436">
        <v>4550</v>
      </c>
      <c r="C436" t="s">
        <v>43</v>
      </c>
      <c r="D436">
        <v>15</v>
      </c>
      <c r="E436">
        <v>135.42000000000002</v>
      </c>
      <c r="F436">
        <v>1</v>
      </c>
      <c r="G436" t="s">
        <v>31</v>
      </c>
      <c r="H436" t="s">
        <v>22</v>
      </c>
      <c r="I436" t="s">
        <v>35</v>
      </c>
      <c r="J436" t="s">
        <v>29</v>
      </c>
      <c r="K436">
        <v>10</v>
      </c>
      <c r="L436">
        <v>0</v>
      </c>
      <c r="M436" s="2">
        <f t="shared" si="6"/>
        <v>2031.3000000000002</v>
      </c>
      <c r="N436" s="2" t="str">
        <f>IF(Tabla1[[#This Row],[Aprobación_Veterinaria]]=1,"APROBADO","NO APROBADO")</f>
        <v>APROBADO</v>
      </c>
      <c r="O436" t="str">
        <f>IF(Tabla1[[#This Row],[Repite compra?]]=1,"REPITE","NO REPITE")</f>
        <v>NO REPITE</v>
      </c>
      <c r="P436" t="str">
        <f>IF(Tabla1[[#This Row],[rating_segun encuesta a Consumidor]]&lt;5,"Regular",IF(Tabla1[[#This Row],[rating_segun encuesta a Consumidor]]&gt;8,"Excelente","Bueno"))</f>
        <v>Excelente</v>
      </c>
    </row>
    <row r="437" spans="1:16" x14ac:dyDescent="0.35">
      <c r="A437" s="1">
        <v>43880</v>
      </c>
      <c r="B437">
        <v>4661</v>
      </c>
      <c r="C437" t="s">
        <v>26</v>
      </c>
      <c r="D437">
        <v>104</v>
      </c>
      <c r="E437">
        <v>15.552</v>
      </c>
      <c r="F437">
        <v>1</v>
      </c>
      <c r="G437" t="s">
        <v>33</v>
      </c>
      <c r="H437" t="s">
        <v>22</v>
      </c>
      <c r="I437" t="s">
        <v>45</v>
      </c>
      <c r="J437" t="s">
        <v>23</v>
      </c>
      <c r="K437">
        <v>10</v>
      </c>
      <c r="L437">
        <v>1</v>
      </c>
      <c r="M437" s="2">
        <f t="shared" si="6"/>
        <v>1617.4079999999999</v>
      </c>
      <c r="N437" s="2" t="str">
        <f>IF(Tabla1[[#This Row],[Aprobación_Veterinaria]]=1,"APROBADO","NO APROBADO")</f>
        <v>APROBADO</v>
      </c>
      <c r="O437" t="str">
        <f>IF(Tabla1[[#This Row],[Repite compra?]]=1,"REPITE","NO REPITE")</f>
        <v>REPITE</v>
      </c>
      <c r="P437" t="str">
        <f>IF(Tabla1[[#This Row],[rating_segun encuesta a Consumidor]]&lt;5,"Regular",IF(Tabla1[[#This Row],[rating_segun encuesta a Consumidor]]&gt;8,"Excelente","Bueno"))</f>
        <v>Excelente</v>
      </c>
    </row>
    <row r="438" spans="1:16" x14ac:dyDescent="0.35">
      <c r="A438" s="1">
        <v>43972</v>
      </c>
      <c r="B438">
        <v>4720</v>
      </c>
      <c r="C438" t="s">
        <v>39</v>
      </c>
      <c r="D438">
        <v>19</v>
      </c>
      <c r="E438">
        <v>190.96800000000002</v>
      </c>
      <c r="F438">
        <v>0</v>
      </c>
      <c r="G438" t="s">
        <v>34</v>
      </c>
      <c r="H438" t="s">
        <v>44</v>
      </c>
      <c r="I438" t="s">
        <v>18</v>
      </c>
      <c r="J438" t="s">
        <v>29</v>
      </c>
      <c r="K438">
        <v>10</v>
      </c>
      <c r="L438">
        <v>0</v>
      </c>
      <c r="M438" s="2">
        <f t="shared" si="6"/>
        <v>3628.3920000000003</v>
      </c>
      <c r="N438" s="2" t="str">
        <f>IF(Tabla1[[#This Row],[Aprobación_Veterinaria]]=1,"APROBADO","NO APROBADO")</f>
        <v>NO APROBADO</v>
      </c>
      <c r="O438" t="str">
        <f>IF(Tabla1[[#This Row],[Repite compra?]]=1,"REPITE","NO REPITE")</f>
        <v>NO REPITE</v>
      </c>
      <c r="P438" t="str">
        <f>IF(Tabla1[[#This Row],[rating_segun encuesta a Consumidor]]&lt;5,"Regular",IF(Tabla1[[#This Row],[rating_segun encuesta a Consumidor]]&gt;8,"Excelente","Bueno"))</f>
        <v>Excelente</v>
      </c>
    </row>
    <row r="439" spans="1:16" x14ac:dyDescent="0.35">
      <c r="A439" s="1">
        <v>43928</v>
      </c>
      <c r="B439">
        <v>4653</v>
      </c>
      <c r="C439" t="s">
        <v>32</v>
      </c>
      <c r="D439">
        <v>223</v>
      </c>
      <c r="E439">
        <v>123.54</v>
      </c>
      <c r="F439">
        <v>0</v>
      </c>
      <c r="G439" t="s">
        <v>36</v>
      </c>
      <c r="H439" t="s">
        <v>22</v>
      </c>
      <c r="I439" t="s">
        <v>41</v>
      </c>
      <c r="J439" t="s">
        <v>23</v>
      </c>
      <c r="K439">
        <v>10</v>
      </c>
      <c r="L439">
        <v>1</v>
      </c>
      <c r="M439" s="2">
        <f t="shared" si="6"/>
        <v>27549.420000000002</v>
      </c>
      <c r="N439" s="2" t="str">
        <f>IF(Tabla1[[#This Row],[Aprobación_Veterinaria]]=1,"APROBADO","NO APROBADO")</f>
        <v>NO APROBADO</v>
      </c>
      <c r="O439" t="str">
        <f>IF(Tabla1[[#This Row],[Repite compra?]]=1,"REPITE","NO REPITE")</f>
        <v>REPITE</v>
      </c>
      <c r="P439" t="str">
        <f>IF(Tabla1[[#This Row],[rating_segun encuesta a Consumidor]]&lt;5,"Regular",IF(Tabla1[[#This Row],[rating_segun encuesta a Consumidor]]&gt;8,"Excelente","Bueno"))</f>
        <v>Excelente</v>
      </c>
    </row>
    <row r="440" spans="1:16" x14ac:dyDescent="0.35">
      <c r="A440" s="1">
        <v>43883</v>
      </c>
      <c r="B440">
        <v>4362</v>
      </c>
      <c r="C440" t="s">
        <v>47</v>
      </c>
      <c r="D440">
        <v>229</v>
      </c>
      <c r="E440">
        <v>155.53200000000001</v>
      </c>
      <c r="F440">
        <v>1</v>
      </c>
      <c r="G440" t="s">
        <v>37</v>
      </c>
      <c r="H440" t="s">
        <v>22</v>
      </c>
      <c r="I440" t="s">
        <v>18</v>
      </c>
      <c r="J440" t="s">
        <v>29</v>
      </c>
      <c r="K440">
        <v>2</v>
      </c>
      <c r="L440">
        <v>1</v>
      </c>
      <c r="M440" s="2">
        <f t="shared" si="6"/>
        <v>35616.828000000001</v>
      </c>
      <c r="N440" s="2" t="str">
        <f>IF(Tabla1[[#This Row],[Aprobación_Veterinaria]]=1,"APROBADO","NO APROBADO")</f>
        <v>APROBADO</v>
      </c>
      <c r="O440" t="str">
        <f>IF(Tabla1[[#This Row],[Repite compra?]]=1,"REPITE","NO REPITE")</f>
        <v>REPITE</v>
      </c>
      <c r="P440" t="str">
        <f>IF(Tabla1[[#This Row],[rating_segun encuesta a Consumidor]]&lt;5,"Regular",IF(Tabla1[[#This Row],[rating_segun encuesta a Consumidor]]&gt;8,"Excelente","Bueno"))</f>
        <v>Regular</v>
      </c>
    </row>
    <row r="441" spans="1:16" x14ac:dyDescent="0.35">
      <c r="A441" s="1">
        <v>44192</v>
      </c>
      <c r="B441">
        <v>5018</v>
      </c>
      <c r="C441" t="s">
        <v>20</v>
      </c>
      <c r="D441">
        <v>148</v>
      </c>
      <c r="E441">
        <v>120.19200000000001</v>
      </c>
      <c r="F441">
        <v>1</v>
      </c>
      <c r="G441" t="s">
        <v>40</v>
      </c>
      <c r="H441" t="s">
        <v>50</v>
      </c>
      <c r="I441" t="s">
        <v>18</v>
      </c>
      <c r="J441" t="s">
        <v>19</v>
      </c>
      <c r="K441">
        <v>6</v>
      </c>
      <c r="L441">
        <v>1</v>
      </c>
      <c r="M441" s="2">
        <f t="shared" si="6"/>
        <v>17788.416000000001</v>
      </c>
      <c r="N441" s="2" t="str">
        <f>IF(Tabla1[[#This Row],[Aprobación_Veterinaria]]=1,"APROBADO","NO APROBADO")</f>
        <v>APROBADO</v>
      </c>
      <c r="O441" t="str">
        <f>IF(Tabla1[[#This Row],[Repite compra?]]=1,"REPITE","NO REPITE")</f>
        <v>REPITE</v>
      </c>
      <c r="P441" t="str">
        <f>IF(Tabla1[[#This Row],[rating_segun encuesta a Consumidor]]&lt;5,"Regular",IF(Tabla1[[#This Row],[rating_segun encuesta a Consumidor]]&gt;8,"Excelente","Bueno"))</f>
        <v>Bueno</v>
      </c>
    </row>
    <row r="442" spans="1:16" x14ac:dyDescent="0.35">
      <c r="A442" s="1">
        <v>43834</v>
      </c>
      <c r="B442">
        <v>4616</v>
      </c>
      <c r="C442" t="s">
        <v>43</v>
      </c>
      <c r="D442">
        <v>113</v>
      </c>
      <c r="E442">
        <v>67.992000000000004</v>
      </c>
      <c r="F442">
        <v>1</v>
      </c>
      <c r="G442" t="s">
        <v>16</v>
      </c>
      <c r="H442" t="s">
        <v>22</v>
      </c>
      <c r="I442" t="s">
        <v>45</v>
      </c>
      <c r="J442" t="s">
        <v>29</v>
      </c>
      <c r="K442">
        <v>10</v>
      </c>
      <c r="L442">
        <v>1</v>
      </c>
      <c r="M442" s="2">
        <f t="shared" si="6"/>
        <v>7683.0960000000005</v>
      </c>
      <c r="N442" s="2" t="str">
        <f>IF(Tabla1[[#This Row],[Aprobación_Veterinaria]]=1,"APROBADO","NO APROBADO")</f>
        <v>APROBADO</v>
      </c>
      <c r="O442" t="str">
        <f>IF(Tabla1[[#This Row],[Repite compra?]]=1,"REPITE","NO REPITE")</f>
        <v>REPITE</v>
      </c>
      <c r="P442" t="str">
        <f>IF(Tabla1[[#This Row],[rating_segun encuesta a Consumidor]]&lt;5,"Regular",IF(Tabla1[[#This Row],[rating_segun encuesta a Consumidor]]&gt;8,"Excelente","Bueno"))</f>
        <v>Excelente</v>
      </c>
    </row>
    <row r="443" spans="1:16" x14ac:dyDescent="0.35">
      <c r="A443" s="1">
        <v>44175</v>
      </c>
      <c r="B443">
        <v>4188</v>
      </c>
      <c r="C443" t="s">
        <v>26</v>
      </c>
      <c r="D443">
        <v>61</v>
      </c>
      <c r="E443">
        <v>136.56</v>
      </c>
      <c r="F443">
        <v>1</v>
      </c>
      <c r="G443" t="s">
        <v>21</v>
      </c>
      <c r="H443" t="s">
        <v>22</v>
      </c>
      <c r="I443" t="s">
        <v>41</v>
      </c>
      <c r="J443" t="s">
        <v>49</v>
      </c>
      <c r="K443">
        <v>7</v>
      </c>
      <c r="L443">
        <v>1</v>
      </c>
      <c r="M443" s="2">
        <f t="shared" si="6"/>
        <v>8330.16</v>
      </c>
      <c r="N443" s="2" t="str">
        <f>IF(Tabla1[[#This Row],[Aprobación_Veterinaria]]=1,"APROBADO","NO APROBADO")</f>
        <v>APROBADO</v>
      </c>
      <c r="O443" t="str">
        <f>IF(Tabla1[[#This Row],[Repite compra?]]=1,"REPITE","NO REPITE")</f>
        <v>REPITE</v>
      </c>
      <c r="P443" t="str">
        <f>IF(Tabla1[[#This Row],[rating_segun encuesta a Consumidor]]&lt;5,"Regular",IF(Tabla1[[#This Row],[rating_segun encuesta a Consumidor]]&gt;8,"Excelente","Bueno"))</f>
        <v>Bueno</v>
      </c>
    </row>
    <row r="444" spans="1:16" x14ac:dyDescent="0.35">
      <c r="A444" s="1">
        <v>43831</v>
      </c>
      <c r="B444">
        <v>4490</v>
      </c>
      <c r="C444" t="s">
        <v>20</v>
      </c>
      <c r="D444">
        <v>204</v>
      </c>
      <c r="E444">
        <v>44.375999999999998</v>
      </c>
      <c r="F444">
        <v>0</v>
      </c>
      <c r="G444" t="s">
        <v>24</v>
      </c>
      <c r="H444" t="s">
        <v>22</v>
      </c>
      <c r="I444" t="s">
        <v>35</v>
      </c>
      <c r="J444" t="s">
        <v>29</v>
      </c>
      <c r="K444">
        <v>3</v>
      </c>
      <c r="L444">
        <v>0</v>
      </c>
      <c r="M444" s="2">
        <f t="shared" si="6"/>
        <v>9052.7039999999997</v>
      </c>
      <c r="N444" s="2" t="str">
        <f>IF(Tabla1[[#This Row],[Aprobación_Veterinaria]]=1,"APROBADO","NO APROBADO")</f>
        <v>NO APROBADO</v>
      </c>
      <c r="O444" t="str">
        <f>IF(Tabla1[[#This Row],[Repite compra?]]=1,"REPITE","NO REPITE")</f>
        <v>NO REPITE</v>
      </c>
      <c r="P444" t="str">
        <f>IF(Tabla1[[#This Row],[rating_segun encuesta a Consumidor]]&lt;5,"Regular",IF(Tabla1[[#This Row],[rating_segun encuesta a Consumidor]]&gt;8,"Excelente","Bueno"))</f>
        <v>Regular</v>
      </c>
    </row>
    <row r="445" spans="1:16" x14ac:dyDescent="0.35">
      <c r="A445" s="1">
        <v>44060</v>
      </c>
      <c r="B445">
        <v>4729</v>
      </c>
      <c r="C445" t="s">
        <v>39</v>
      </c>
      <c r="D445">
        <v>123</v>
      </c>
      <c r="E445">
        <v>232.36799999999999</v>
      </c>
      <c r="F445">
        <v>1</v>
      </c>
      <c r="G445" t="s">
        <v>27</v>
      </c>
      <c r="H445" t="s">
        <v>54</v>
      </c>
      <c r="I445" t="s">
        <v>41</v>
      </c>
      <c r="J445" t="s">
        <v>23</v>
      </c>
      <c r="K445">
        <v>10</v>
      </c>
      <c r="L445">
        <v>0</v>
      </c>
      <c r="M445" s="2">
        <f t="shared" si="6"/>
        <v>28581.263999999999</v>
      </c>
      <c r="N445" s="2" t="str">
        <f>IF(Tabla1[[#This Row],[Aprobación_Veterinaria]]=1,"APROBADO","NO APROBADO")</f>
        <v>APROBADO</v>
      </c>
      <c r="O445" t="str">
        <f>IF(Tabla1[[#This Row],[Repite compra?]]=1,"REPITE","NO REPITE")</f>
        <v>NO REPITE</v>
      </c>
      <c r="P445" t="str">
        <f>IF(Tabla1[[#This Row],[rating_segun encuesta a Consumidor]]&lt;5,"Regular",IF(Tabla1[[#This Row],[rating_segun encuesta a Consumidor]]&gt;8,"Excelente","Bueno"))</f>
        <v>Excelente</v>
      </c>
    </row>
    <row r="446" spans="1:16" x14ac:dyDescent="0.35">
      <c r="A446" s="1">
        <v>43902</v>
      </c>
      <c r="B446">
        <v>4630</v>
      </c>
      <c r="C446" t="s">
        <v>46</v>
      </c>
      <c r="D446">
        <v>92</v>
      </c>
      <c r="E446">
        <v>233.256</v>
      </c>
      <c r="F446">
        <v>0</v>
      </c>
      <c r="G446" t="s">
        <v>31</v>
      </c>
      <c r="H446" t="s">
        <v>22</v>
      </c>
      <c r="I446" t="s">
        <v>35</v>
      </c>
      <c r="J446" t="s">
        <v>29</v>
      </c>
      <c r="K446">
        <v>10</v>
      </c>
      <c r="L446">
        <v>0</v>
      </c>
      <c r="M446" s="2">
        <f t="shared" si="6"/>
        <v>21459.552</v>
      </c>
      <c r="N446" s="2" t="str">
        <f>IF(Tabla1[[#This Row],[Aprobación_Veterinaria]]=1,"APROBADO","NO APROBADO")</f>
        <v>NO APROBADO</v>
      </c>
      <c r="O446" t="str">
        <f>IF(Tabla1[[#This Row],[Repite compra?]]=1,"REPITE","NO REPITE")</f>
        <v>NO REPITE</v>
      </c>
      <c r="P446" t="str">
        <f>IF(Tabla1[[#This Row],[rating_segun encuesta a Consumidor]]&lt;5,"Regular",IF(Tabla1[[#This Row],[rating_segun encuesta a Consumidor]]&gt;8,"Excelente","Bueno"))</f>
        <v>Excelente</v>
      </c>
    </row>
    <row r="447" spans="1:16" x14ac:dyDescent="0.35">
      <c r="A447" s="1">
        <v>44175</v>
      </c>
      <c r="B447">
        <v>4649</v>
      </c>
      <c r="C447" t="s">
        <v>43</v>
      </c>
      <c r="D447">
        <v>3</v>
      </c>
      <c r="E447">
        <v>56.603999999999999</v>
      </c>
      <c r="F447">
        <v>1</v>
      </c>
      <c r="G447" t="s">
        <v>33</v>
      </c>
      <c r="H447" t="s">
        <v>22</v>
      </c>
      <c r="I447" t="s">
        <v>28</v>
      </c>
      <c r="J447" t="s">
        <v>23</v>
      </c>
      <c r="K447">
        <v>10</v>
      </c>
      <c r="L447">
        <v>1</v>
      </c>
      <c r="M447" s="2">
        <f t="shared" si="6"/>
        <v>169.81200000000001</v>
      </c>
      <c r="N447" s="2" t="str">
        <f>IF(Tabla1[[#This Row],[Aprobación_Veterinaria]]=1,"APROBADO","NO APROBADO")</f>
        <v>APROBADO</v>
      </c>
      <c r="O447" t="str">
        <f>IF(Tabla1[[#This Row],[Repite compra?]]=1,"REPITE","NO REPITE")</f>
        <v>REPITE</v>
      </c>
      <c r="P447" t="str">
        <f>IF(Tabla1[[#This Row],[rating_segun encuesta a Consumidor]]&lt;5,"Regular",IF(Tabla1[[#This Row],[rating_segun encuesta a Consumidor]]&gt;8,"Excelente","Bueno"))</f>
        <v>Excelente</v>
      </c>
    </row>
    <row r="448" spans="1:16" x14ac:dyDescent="0.35">
      <c r="A448" s="1">
        <v>43847</v>
      </c>
      <c r="B448">
        <v>4176</v>
      </c>
      <c r="C448" t="s">
        <v>43</v>
      </c>
      <c r="D448">
        <v>42</v>
      </c>
      <c r="E448">
        <v>110.16</v>
      </c>
      <c r="F448">
        <v>0</v>
      </c>
      <c r="G448" t="s">
        <v>34</v>
      </c>
      <c r="H448" t="s">
        <v>22</v>
      </c>
      <c r="I448" t="s">
        <v>45</v>
      </c>
      <c r="J448" t="s">
        <v>49</v>
      </c>
      <c r="K448">
        <v>1</v>
      </c>
      <c r="L448">
        <v>0</v>
      </c>
      <c r="M448" s="2">
        <f t="shared" si="6"/>
        <v>4626.72</v>
      </c>
      <c r="N448" s="2" t="str">
        <f>IF(Tabla1[[#This Row],[Aprobación_Veterinaria]]=1,"APROBADO","NO APROBADO")</f>
        <v>NO APROBADO</v>
      </c>
      <c r="O448" t="str">
        <f>IF(Tabla1[[#This Row],[Repite compra?]]=1,"REPITE","NO REPITE")</f>
        <v>NO REPITE</v>
      </c>
      <c r="P448" t="str">
        <f>IF(Tabla1[[#This Row],[rating_segun encuesta a Consumidor]]&lt;5,"Regular",IF(Tabla1[[#This Row],[rating_segun encuesta a Consumidor]]&gt;8,"Excelente","Bueno"))</f>
        <v>Regular</v>
      </c>
    </row>
    <row r="449" spans="1:16" x14ac:dyDescent="0.35">
      <c r="A449" s="1">
        <v>44083</v>
      </c>
      <c r="B449">
        <v>4231</v>
      </c>
      <c r="C449" t="s">
        <v>43</v>
      </c>
      <c r="D449">
        <v>211</v>
      </c>
      <c r="E449">
        <v>111.84</v>
      </c>
      <c r="F449">
        <v>0</v>
      </c>
      <c r="G449" t="s">
        <v>36</v>
      </c>
      <c r="H449" t="s">
        <v>22</v>
      </c>
      <c r="I449" t="s">
        <v>45</v>
      </c>
      <c r="J449" t="s">
        <v>25</v>
      </c>
      <c r="K449">
        <v>5</v>
      </c>
      <c r="L449">
        <v>0</v>
      </c>
      <c r="M449" s="2">
        <f t="shared" si="6"/>
        <v>23598.240000000002</v>
      </c>
      <c r="N449" s="2" t="str">
        <f>IF(Tabla1[[#This Row],[Aprobación_Veterinaria]]=1,"APROBADO","NO APROBADO")</f>
        <v>NO APROBADO</v>
      </c>
      <c r="O449" t="str">
        <f>IF(Tabla1[[#This Row],[Repite compra?]]=1,"REPITE","NO REPITE")</f>
        <v>NO REPITE</v>
      </c>
      <c r="P449" t="str">
        <f>IF(Tabla1[[#This Row],[rating_segun encuesta a Consumidor]]&lt;5,"Regular",IF(Tabla1[[#This Row],[rating_segun encuesta a Consumidor]]&gt;8,"Excelente","Bueno"))</f>
        <v>Bueno</v>
      </c>
    </row>
    <row r="450" spans="1:16" x14ac:dyDescent="0.35">
      <c r="A450" s="1">
        <v>43905</v>
      </c>
      <c r="B450">
        <v>4846</v>
      </c>
      <c r="C450" t="s">
        <v>26</v>
      </c>
      <c r="D450">
        <v>5</v>
      </c>
      <c r="E450">
        <v>54.372</v>
      </c>
      <c r="F450">
        <v>1</v>
      </c>
      <c r="G450" t="s">
        <v>37</v>
      </c>
      <c r="H450" t="s">
        <v>48</v>
      </c>
      <c r="I450" t="s">
        <v>18</v>
      </c>
      <c r="J450" t="s">
        <v>29</v>
      </c>
      <c r="K450">
        <v>1</v>
      </c>
      <c r="L450">
        <v>1</v>
      </c>
      <c r="M450" s="2">
        <f t="shared" ref="M450:M513" si="7">D450*E450</f>
        <v>271.86</v>
      </c>
      <c r="N450" s="2" t="str">
        <f>IF(Tabla1[[#This Row],[Aprobación_Veterinaria]]=1,"APROBADO","NO APROBADO")</f>
        <v>APROBADO</v>
      </c>
      <c r="O450" t="str">
        <f>IF(Tabla1[[#This Row],[Repite compra?]]=1,"REPITE","NO REPITE")</f>
        <v>REPITE</v>
      </c>
      <c r="P450" t="str">
        <f>IF(Tabla1[[#This Row],[rating_segun encuesta a Consumidor]]&lt;5,"Regular",IF(Tabla1[[#This Row],[rating_segun encuesta a Consumidor]]&gt;8,"Excelente","Bueno"))</f>
        <v>Regular</v>
      </c>
    </row>
    <row r="451" spans="1:16" x14ac:dyDescent="0.35">
      <c r="A451" s="1">
        <v>43948</v>
      </c>
      <c r="B451">
        <v>4317</v>
      </c>
      <c r="C451" t="s">
        <v>51</v>
      </c>
      <c r="D451">
        <v>75</v>
      </c>
      <c r="E451">
        <v>139.64400000000001</v>
      </c>
      <c r="F451">
        <v>0</v>
      </c>
      <c r="G451" t="s">
        <v>40</v>
      </c>
      <c r="H451" t="s">
        <v>22</v>
      </c>
      <c r="I451" t="s">
        <v>18</v>
      </c>
      <c r="J451" t="s">
        <v>23</v>
      </c>
      <c r="K451">
        <v>8</v>
      </c>
      <c r="L451">
        <v>0</v>
      </c>
      <c r="M451" s="2">
        <f t="shared" si="7"/>
        <v>10473.300000000001</v>
      </c>
      <c r="N451" s="2" t="str">
        <f>IF(Tabla1[[#This Row],[Aprobación_Veterinaria]]=1,"APROBADO","NO APROBADO")</f>
        <v>NO APROBADO</v>
      </c>
      <c r="O451" t="str">
        <f>IF(Tabla1[[#This Row],[Repite compra?]]=1,"REPITE","NO REPITE")</f>
        <v>NO REPITE</v>
      </c>
      <c r="P451" t="str">
        <f>IF(Tabla1[[#This Row],[rating_segun encuesta a Consumidor]]&lt;5,"Regular",IF(Tabla1[[#This Row],[rating_segun encuesta a Consumidor]]&gt;8,"Excelente","Bueno"))</f>
        <v>Bueno</v>
      </c>
    </row>
    <row r="452" spans="1:16" x14ac:dyDescent="0.35">
      <c r="A452" s="1">
        <v>44090</v>
      </c>
      <c r="B452">
        <v>4618</v>
      </c>
      <c r="C452" t="s">
        <v>15</v>
      </c>
      <c r="D452">
        <v>185</v>
      </c>
      <c r="E452">
        <v>32.4</v>
      </c>
      <c r="F452">
        <v>0</v>
      </c>
      <c r="G452" t="s">
        <v>16</v>
      </c>
      <c r="H452" t="s">
        <v>22</v>
      </c>
      <c r="I452" t="s">
        <v>41</v>
      </c>
      <c r="J452" t="s">
        <v>29</v>
      </c>
      <c r="K452">
        <v>10</v>
      </c>
      <c r="L452">
        <v>0</v>
      </c>
      <c r="M452" s="2">
        <f t="shared" si="7"/>
        <v>5994</v>
      </c>
      <c r="N452" s="2" t="str">
        <f>IF(Tabla1[[#This Row],[Aprobación_Veterinaria]]=1,"APROBADO","NO APROBADO")</f>
        <v>NO APROBADO</v>
      </c>
      <c r="O452" t="str">
        <f>IF(Tabla1[[#This Row],[Repite compra?]]=1,"REPITE","NO REPITE")</f>
        <v>NO REPITE</v>
      </c>
      <c r="P452" t="str">
        <f>IF(Tabla1[[#This Row],[rating_segun encuesta a Consumidor]]&lt;5,"Regular",IF(Tabla1[[#This Row],[rating_segun encuesta a Consumidor]]&gt;8,"Excelente","Bueno"))</f>
        <v>Excelente</v>
      </c>
    </row>
    <row r="453" spans="1:16" x14ac:dyDescent="0.35">
      <c r="A453" s="1">
        <v>44035</v>
      </c>
      <c r="B453">
        <v>4333</v>
      </c>
      <c r="C453" t="s">
        <v>46</v>
      </c>
      <c r="D453">
        <v>40</v>
      </c>
      <c r="E453">
        <v>117.684</v>
      </c>
      <c r="F453">
        <v>0</v>
      </c>
      <c r="G453" t="s">
        <v>21</v>
      </c>
      <c r="H453" t="s">
        <v>22</v>
      </c>
      <c r="I453" t="s">
        <v>41</v>
      </c>
      <c r="J453" t="s">
        <v>23</v>
      </c>
      <c r="K453">
        <v>10</v>
      </c>
      <c r="L453">
        <v>1</v>
      </c>
      <c r="M453" s="2">
        <f t="shared" si="7"/>
        <v>4707.3599999999997</v>
      </c>
      <c r="N453" s="2" t="str">
        <f>IF(Tabla1[[#This Row],[Aprobación_Veterinaria]]=1,"APROBADO","NO APROBADO")</f>
        <v>NO APROBADO</v>
      </c>
      <c r="O453" t="str">
        <f>IF(Tabla1[[#This Row],[Repite compra?]]=1,"REPITE","NO REPITE")</f>
        <v>REPITE</v>
      </c>
      <c r="P453" t="str">
        <f>IF(Tabla1[[#This Row],[rating_segun encuesta a Consumidor]]&lt;5,"Regular",IF(Tabla1[[#This Row],[rating_segun encuesta a Consumidor]]&gt;8,"Excelente","Bueno"))</f>
        <v>Excelente</v>
      </c>
    </row>
    <row r="454" spans="1:16" x14ac:dyDescent="0.35">
      <c r="A454" s="1">
        <v>43966</v>
      </c>
      <c r="B454">
        <v>4831</v>
      </c>
      <c r="C454" t="s">
        <v>26</v>
      </c>
      <c r="D454">
        <v>30</v>
      </c>
      <c r="E454">
        <v>195.864</v>
      </c>
      <c r="F454">
        <v>1</v>
      </c>
      <c r="G454" t="s">
        <v>24</v>
      </c>
      <c r="H454" t="s">
        <v>48</v>
      </c>
      <c r="I454" t="s">
        <v>41</v>
      </c>
      <c r="J454" t="s">
        <v>23</v>
      </c>
      <c r="K454">
        <v>2</v>
      </c>
      <c r="L454">
        <v>1</v>
      </c>
      <c r="M454" s="2">
        <f t="shared" si="7"/>
        <v>5875.92</v>
      </c>
      <c r="N454" s="2" t="str">
        <f>IF(Tabla1[[#This Row],[Aprobación_Veterinaria]]=1,"APROBADO","NO APROBADO")</f>
        <v>APROBADO</v>
      </c>
      <c r="O454" t="str">
        <f>IF(Tabla1[[#This Row],[Repite compra?]]=1,"REPITE","NO REPITE")</f>
        <v>REPITE</v>
      </c>
      <c r="P454" t="str">
        <f>IF(Tabla1[[#This Row],[rating_segun encuesta a Consumidor]]&lt;5,"Regular",IF(Tabla1[[#This Row],[rating_segun encuesta a Consumidor]]&gt;8,"Excelente","Bueno"))</f>
        <v>Regular</v>
      </c>
    </row>
    <row r="455" spans="1:16" x14ac:dyDescent="0.35">
      <c r="A455" s="1">
        <v>43929</v>
      </c>
      <c r="B455">
        <v>4285</v>
      </c>
      <c r="C455" t="s">
        <v>47</v>
      </c>
      <c r="D455">
        <v>167</v>
      </c>
      <c r="E455">
        <v>153.15600000000001</v>
      </c>
      <c r="F455">
        <v>1</v>
      </c>
      <c r="G455" t="s">
        <v>27</v>
      </c>
      <c r="H455" t="s">
        <v>22</v>
      </c>
      <c r="I455" t="s">
        <v>35</v>
      </c>
      <c r="J455" t="s">
        <v>25</v>
      </c>
      <c r="K455">
        <v>2</v>
      </c>
      <c r="L455">
        <v>0</v>
      </c>
      <c r="M455" s="2">
        <f t="shared" si="7"/>
        <v>25577.052</v>
      </c>
      <c r="N455" s="2" t="str">
        <f>IF(Tabla1[[#This Row],[Aprobación_Veterinaria]]=1,"APROBADO","NO APROBADO")</f>
        <v>APROBADO</v>
      </c>
      <c r="O455" t="str">
        <f>IF(Tabla1[[#This Row],[Repite compra?]]=1,"REPITE","NO REPITE")</f>
        <v>NO REPITE</v>
      </c>
      <c r="P455" t="str">
        <f>IF(Tabla1[[#This Row],[rating_segun encuesta a Consumidor]]&lt;5,"Regular",IF(Tabla1[[#This Row],[rating_segun encuesta a Consumidor]]&gt;8,"Excelente","Bueno"))</f>
        <v>Regular</v>
      </c>
    </row>
    <row r="456" spans="1:16" x14ac:dyDescent="0.35">
      <c r="A456" s="1">
        <v>44149</v>
      </c>
      <c r="B456">
        <v>4730</v>
      </c>
      <c r="C456" t="s">
        <v>30</v>
      </c>
      <c r="D456">
        <v>130</v>
      </c>
      <c r="E456">
        <v>147</v>
      </c>
      <c r="F456">
        <v>1</v>
      </c>
      <c r="G456" t="s">
        <v>31</v>
      </c>
      <c r="H456" t="s">
        <v>44</v>
      </c>
      <c r="I456" t="s">
        <v>18</v>
      </c>
      <c r="J456" t="s">
        <v>29</v>
      </c>
      <c r="K456">
        <v>7</v>
      </c>
      <c r="L456">
        <v>0</v>
      </c>
      <c r="M456" s="2">
        <f t="shared" si="7"/>
        <v>19110</v>
      </c>
      <c r="N456" s="2" t="str">
        <f>IF(Tabla1[[#This Row],[Aprobación_Veterinaria]]=1,"APROBADO","NO APROBADO")</f>
        <v>APROBADO</v>
      </c>
      <c r="O456" t="str">
        <f>IF(Tabla1[[#This Row],[Repite compra?]]=1,"REPITE","NO REPITE")</f>
        <v>NO REPITE</v>
      </c>
      <c r="P456" t="str">
        <f>IF(Tabla1[[#This Row],[rating_segun encuesta a Consumidor]]&lt;5,"Regular",IF(Tabla1[[#This Row],[rating_segun encuesta a Consumidor]]&gt;8,"Excelente","Bueno"))</f>
        <v>Bueno</v>
      </c>
    </row>
    <row r="457" spans="1:16" x14ac:dyDescent="0.35">
      <c r="A457" s="1">
        <v>43993</v>
      </c>
      <c r="B457">
        <v>4662</v>
      </c>
      <c r="C457" t="s">
        <v>15</v>
      </c>
      <c r="D457">
        <v>148</v>
      </c>
      <c r="E457">
        <v>148.476</v>
      </c>
      <c r="F457">
        <v>0</v>
      </c>
      <c r="G457" t="s">
        <v>33</v>
      </c>
      <c r="H457" t="s">
        <v>22</v>
      </c>
      <c r="I457" t="s">
        <v>18</v>
      </c>
      <c r="J457" t="s">
        <v>29</v>
      </c>
      <c r="K457">
        <v>10</v>
      </c>
      <c r="L457">
        <v>1</v>
      </c>
      <c r="M457" s="2">
        <f t="shared" si="7"/>
        <v>21974.448</v>
      </c>
      <c r="N457" s="2" t="str">
        <f>IF(Tabla1[[#This Row],[Aprobación_Veterinaria]]=1,"APROBADO","NO APROBADO")</f>
        <v>NO APROBADO</v>
      </c>
      <c r="O457" t="str">
        <f>IF(Tabla1[[#This Row],[Repite compra?]]=1,"REPITE","NO REPITE")</f>
        <v>REPITE</v>
      </c>
      <c r="P457" t="str">
        <f>IF(Tabla1[[#This Row],[rating_segun encuesta a Consumidor]]&lt;5,"Regular",IF(Tabla1[[#This Row],[rating_segun encuesta a Consumidor]]&gt;8,"Excelente","Bueno"))</f>
        <v>Excelente</v>
      </c>
    </row>
    <row r="458" spans="1:16" x14ac:dyDescent="0.35">
      <c r="A458" s="1">
        <v>44078</v>
      </c>
      <c r="B458">
        <v>4709</v>
      </c>
      <c r="C458" t="s">
        <v>30</v>
      </c>
      <c r="D458">
        <v>152</v>
      </c>
      <c r="E458">
        <v>91.427999999999997</v>
      </c>
      <c r="F458">
        <v>1</v>
      </c>
      <c r="G458" t="s">
        <v>34</v>
      </c>
      <c r="H458" t="s">
        <v>54</v>
      </c>
      <c r="I458" t="s">
        <v>41</v>
      </c>
      <c r="J458" t="s">
        <v>23</v>
      </c>
      <c r="K458">
        <v>10</v>
      </c>
      <c r="L458">
        <v>0</v>
      </c>
      <c r="M458" s="2">
        <f t="shared" si="7"/>
        <v>13897.056</v>
      </c>
      <c r="N458" s="2" t="str">
        <f>IF(Tabla1[[#This Row],[Aprobación_Veterinaria]]=1,"APROBADO","NO APROBADO")</f>
        <v>APROBADO</v>
      </c>
      <c r="O458" t="str">
        <f>IF(Tabla1[[#This Row],[Repite compra?]]=1,"REPITE","NO REPITE")</f>
        <v>NO REPITE</v>
      </c>
      <c r="P458" t="str">
        <f>IF(Tabla1[[#This Row],[rating_segun encuesta a Consumidor]]&lt;5,"Regular",IF(Tabla1[[#This Row],[rating_segun encuesta a Consumidor]]&gt;8,"Excelente","Bueno"))</f>
        <v>Excelente</v>
      </c>
    </row>
    <row r="459" spans="1:16" x14ac:dyDescent="0.35">
      <c r="A459" s="1">
        <v>43928</v>
      </c>
      <c r="B459">
        <v>4547</v>
      </c>
      <c r="C459" t="s">
        <v>30</v>
      </c>
      <c r="D459">
        <v>25</v>
      </c>
      <c r="E459">
        <v>133.44</v>
      </c>
      <c r="F459">
        <v>0</v>
      </c>
      <c r="G459" t="s">
        <v>36</v>
      </c>
      <c r="H459" t="s">
        <v>22</v>
      </c>
      <c r="I459" t="s">
        <v>18</v>
      </c>
      <c r="J459" t="s">
        <v>23</v>
      </c>
      <c r="K459">
        <v>10</v>
      </c>
      <c r="L459">
        <v>1</v>
      </c>
      <c r="M459" s="2">
        <f t="shared" si="7"/>
        <v>3336</v>
      </c>
      <c r="N459" s="2" t="str">
        <f>IF(Tabla1[[#This Row],[Aprobación_Veterinaria]]=1,"APROBADO","NO APROBADO")</f>
        <v>NO APROBADO</v>
      </c>
      <c r="O459" t="str">
        <f>IF(Tabla1[[#This Row],[Repite compra?]]=1,"REPITE","NO REPITE")</f>
        <v>REPITE</v>
      </c>
      <c r="P459" t="str">
        <f>IF(Tabla1[[#This Row],[rating_segun encuesta a Consumidor]]&lt;5,"Regular",IF(Tabla1[[#This Row],[rating_segun encuesta a Consumidor]]&gt;8,"Excelente","Bueno"))</f>
        <v>Excelente</v>
      </c>
    </row>
    <row r="460" spans="1:16" x14ac:dyDescent="0.35">
      <c r="A460" s="1">
        <v>43856</v>
      </c>
      <c r="B460">
        <v>4489</v>
      </c>
      <c r="C460" t="s">
        <v>42</v>
      </c>
      <c r="D460">
        <v>36</v>
      </c>
      <c r="E460">
        <v>4.8360000000000003</v>
      </c>
      <c r="F460">
        <v>0</v>
      </c>
      <c r="G460" t="s">
        <v>37</v>
      </c>
      <c r="H460" t="s">
        <v>22</v>
      </c>
      <c r="I460" t="s">
        <v>28</v>
      </c>
      <c r="J460" t="s">
        <v>23</v>
      </c>
      <c r="K460">
        <v>9</v>
      </c>
      <c r="L460">
        <v>1</v>
      </c>
      <c r="M460" s="2">
        <f t="shared" si="7"/>
        <v>174.096</v>
      </c>
      <c r="N460" s="2" t="str">
        <f>IF(Tabla1[[#This Row],[Aprobación_Veterinaria]]=1,"APROBADO","NO APROBADO")</f>
        <v>NO APROBADO</v>
      </c>
      <c r="O460" t="str">
        <f>IF(Tabla1[[#This Row],[Repite compra?]]=1,"REPITE","NO REPITE")</f>
        <v>REPITE</v>
      </c>
      <c r="P460" t="str">
        <f>IF(Tabla1[[#This Row],[rating_segun encuesta a Consumidor]]&lt;5,"Regular",IF(Tabla1[[#This Row],[rating_segun encuesta a Consumidor]]&gt;8,"Excelente","Bueno"))</f>
        <v>Excelente</v>
      </c>
    </row>
    <row r="461" spans="1:16" x14ac:dyDescent="0.35">
      <c r="A461" s="1">
        <v>43883</v>
      </c>
      <c r="B461">
        <v>5003</v>
      </c>
      <c r="C461" t="s">
        <v>20</v>
      </c>
      <c r="D461">
        <v>109</v>
      </c>
      <c r="E461">
        <v>154.584</v>
      </c>
      <c r="F461">
        <v>0</v>
      </c>
      <c r="G461" t="s">
        <v>40</v>
      </c>
      <c r="H461" t="s">
        <v>50</v>
      </c>
      <c r="I461" t="s">
        <v>41</v>
      </c>
      <c r="J461" t="s">
        <v>49</v>
      </c>
      <c r="K461">
        <v>6</v>
      </c>
      <c r="L461">
        <v>0</v>
      </c>
      <c r="M461" s="2">
        <f t="shared" si="7"/>
        <v>16849.655999999999</v>
      </c>
      <c r="N461" s="2" t="str">
        <f>IF(Tabla1[[#This Row],[Aprobación_Veterinaria]]=1,"APROBADO","NO APROBADO")</f>
        <v>NO APROBADO</v>
      </c>
      <c r="O461" t="str">
        <f>IF(Tabla1[[#This Row],[Repite compra?]]=1,"REPITE","NO REPITE")</f>
        <v>NO REPITE</v>
      </c>
      <c r="P461" t="str">
        <f>IF(Tabla1[[#This Row],[rating_segun encuesta a Consumidor]]&lt;5,"Regular",IF(Tabla1[[#This Row],[rating_segun encuesta a Consumidor]]&gt;8,"Excelente","Bueno"))</f>
        <v>Bueno</v>
      </c>
    </row>
    <row r="462" spans="1:16" x14ac:dyDescent="0.35">
      <c r="A462" s="1">
        <v>43999</v>
      </c>
      <c r="B462">
        <v>5042</v>
      </c>
      <c r="C462" t="s">
        <v>20</v>
      </c>
      <c r="D462">
        <v>176</v>
      </c>
      <c r="E462">
        <v>109.30800000000001</v>
      </c>
      <c r="F462">
        <v>1</v>
      </c>
      <c r="G462" t="s">
        <v>16</v>
      </c>
      <c r="H462" t="s">
        <v>17</v>
      </c>
      <c r="I462" t="s">
        <v>18</v>
      </c>
      <c r="J462" t="s">
        <v>19</v>
      </c>
      <c r="K462">
        <v>7</v>
      </c>
      <c r="L462">
        <v>1</v>
      </c>
      <c r="M462" s="2">
        <f t="shared" si="7"/>
        <v>19238.208000000002</v>
      </c>
      <c r="N462" s="2" t="str">
        <f>IF(Tabla1[[#This Row],[Aprobación_Veterinaria]]=1,"APROBADO","NO APROBADO")</f>
        <v>APROBADO</v>
      </c>
      <c r="O462" t="str">
        <f>IF(Tabla1[[#This Row],[Repite compra?]]=1,"REPITE","NO REPITE")</f>
        <v>REPITE</v>
      </c>
      <c r="P462" t="str">
        <f>IF(Tabla1[[#This Row],[rating_segun encuesta a Consumidor]]&lt;5,"Regular",IF(Tabla1[[#This Row],[rating_segun encuesta a Consumidor]]&gt;8,"Excelente","Bueno"))</f>
        <v>Bueno</v>
      </c>
    </row>
    <row r="463" spans="1:16" x14ac:dyDescent="0.35">
      <c r="A463" s="1">
        <v>44156</v>
      </c>
      <c r="B463">
        <v>4323</v>
      </c>
      <c r="C463" t="s">
        <v>32</v>
      </c>
      <c r="D463">
        <v>132</v>
      </c>
      <c r="E463">
        <v>163.00800000000001</v>
      </c>
      <c r="F463">
        <v>1</v>
      </c>
      <c r="G463" t="s">
        <v>21</v>
      </c>
      <c r="H463" t="s">
        <v>22</v>
      </c>
      <c r="I463" t="s">
        <v>41</v>
      </c>
      <c r="J463" t="s">
        <v>23</v>
      </c>
      <c r="K463">
        <v>1</v>
      </c>
      <c r="L463">
        <v>0</v>
      </c>
      <c r="M463" s="2">
        <f t="shared" si="7"/>
        <v>21517.056</v>
      </c>
      <c r="N463" s="2" t="str">
        <f>IF(Tabla1[[#This Row],[Aprobación_Veterinaria]]=1,"APROBADO","NO APROBADO")</f>
        <v>APROBADO</v>
      </c>
      <c r="O463" t="str">
        <f>IF(Tabla1[[#This Row],[Repite compra?]]=1,"REPITE","NO REPITE")</f>
        <v>NO REPITE</v>
      </c>
      <c r="P463" t="str">
        <f>IF(Tabla1[[#This Row],[rating_segun encuesta a Consumidor]]&lt;5,"Regular",IF(Tabla1[[#This Row],[rating_segun encuesta a Consumidor]]&gt;8,"Excelente","Bueno"))</f>
        <v>Regular</v>
      </c>
    </row>
    <row r="464" spans="1:16" x14ac:dyDescent="0.35">
      <c r="A464" s="1">
        <v>43969</v>
      </c>
      <c r="B464">
        <v>4236</v>
      </c>
      <c r="C464" t="s">
        <v>42</v>
      </c>
      <c r="D464">
        <v>193</v>
      </c>
      <c r="E464">
        <v>182.904</v>
      </c>
      <c r="F464">
        <v>1</v>
      </c>
      <c r="G464" t="s">
        <v>24</v>
      </c>
      <c r="H464" t="s">
        <v>22</v>
      </c>
      <c r="I464" t="s">
        <v>45</v>
      </c>
      <c r="J464" t="s">
        <v>49</v>
      </c>
      <c r="K464">
        <v>7</v>
      </c>
      <c r="L464">
        <v>0</v>
      </c>
      <c r="M464" s="2">
        <f t="shared" si="7"/>
        <v>35300.472000000002</v>
      </c>
      <c r="N464" s="2" t="str">
        <f>IF(Tabla1[[#This Row],[Aprobación_Veterinaria]]=1,"APROBADO","NO APROBADO")</f>
        <v>APROBADO</v>
      </c>
      <c r="O464" t="str">
        <f>IF(Tabla1[[#This Row],[Repite compra?]]=1,"REPITE","NO REPITE")</f>
        <v>NO REPITE</v>
      </c>
      <c r="P464" t="str">
        <f>IF(Tabla1[[#This Row],[rating_segun encuesta a Consumidor]]&lt;5,"Regular",IF(Tabla1[[#This Row],[rating_segun encuesta a Consumidor]]&gt;8,"Excelente","Bueno"))</f>
        <v>Bueno</v>
      </c>
    </row>
    <row r="465" spans="1:16" x14ac:dyDescent="0.35">
      <c r="A465" s="1">
        <v>44059</v>
      </c>
      <c r="B465">
        <v>4571</v>
      </c>
      <c r="C465" t="s">
        <v>47</v>
      </c>
      <c r="D465">
        <v>201</v>
      </c>
      <c r="E465">
        <v>109.33200000000001</v>
      </c>
      <c r="F465">
        <v>0</v>
      </c>
      <c r="G465" t="s">
        <v>27</v>
      </c>
      <c r="H465" t="s">
        <v>22</v>
      </c>
      <c r="I465" t="s">
        <v>45</v>
      </c>
      <c r="J465" t="s">
        <v>23</v>
      </c>
      <c r="K465">
        <v>10</v>
      </c>
      <c r="L465">
        <v>1</v>
      </c>
      <c r="M465" s="2">
        <f t="shared" si="7"/>
        <v>21975.732</v>
      </c>
      <c r="N465" s="2" t="str">
        <f>IF(Tabla1[[#This Row],[Aprobación_Veterinaria]]=1,"APROBADO","NO APROBADO")</f>
        <v>NO APROBADO</v>
      </c>
      <c r="O465" t="str">
        <f>IF(Tabla1[[#This Row],[Repite compra?]]=1,"REPITE","NO REPITE")</f>
        <v>REPITE</v>
      </c>
      <c r="P465" t="str">
        <f>IF(Tabla1[[#This Row],[rating_segun encuesta a Consumidor]]&lt;5,"Regular",IF(Tabla1[[#This Row],[rating_segun encuesta a Consumidor]]&gt;8,"Excelente","Bueno"))</f>
        <v>Excelente</v>
      </c>
    </row>
    <row r="466" spans="1:16" x14ac:dyDescent="0.35">
      <c r="A466" s="1">
        <v>43851</v>
      </c>
      <c r="B466">
        <v>4897</v>
      </c>
      <c r="C466" t="s">
        <v>26</v>
      </c>
      <c r="D466">
        <v>197</v>
      </c>
      <c r="E466">
        <v>54.660000000000004</v>
      </c>
      <c r="F466">
        <v>0</v>
      </c>
      <c r="G466" t="s">
        <v>31</v>
      </c>
      <c r="H466" t="s">
        <v>38</v>
      </c>
      <c r="I466" t="s">
        <v>41</v>
      </c>
      <c r="J466" t="s">
        <v>23</v>
      </c>
      <c r="K466">
        <v>6</v>
      </c>
      <c r="L466">
        <v>0</v>
      </c>
      <c r="M466" s="2">
        <f t="shared" si="7"/>
        <v>10768.02</v>
      </c>
      <c r="N466" s="2" t="str">
        <f>IF(Tabla1[[#This Row],[Aprobación_Veterinaria]]=1,"APROBADO","NO APROBADO")</f>
        <v>NO APROBADO</v>
      </c>
      <c r="O466" t="str">
        <f>IF(Tabla1[[#This Row],[Repite compra?]]=1,"REPITE","NO REPITE")</f>
        <v>NO REPITE</v>
      </c>
      <c r="P466" t="str">
        <f>IF(Tabla1[[#This Row],[rating_segun encuesta a Consumidor]]&lt;5,"Regular",IF(Tabla1[[#This Row],[rating_segun encuesta a Consumidor]]&gt;8,"Excelente","Bueno"))</f>
        <v>Bueno</v>
      </c>
    </row>
    <row r="467" spans="1:16" x14ac:dyDescent="0.35">
      <c r="A467" s="1">
        <v>44184</v>
      </c>
      <c r="B467">
        <v>4864</v>
      </c>
      <c r="C467" t="s">
        <v>26</v>
      </c>
      <c r="D467">
        <v>83</v>
      </c>
      <c r="E467">
        <v>151.12800000000001</v>
      </c>
      <c r="F467">
        <v>0</v>
      </c>
      <c r="G467" t="s">
        <v>33</v>
      </c>
      <c r="H467" t="s">
        <v>54</v>
      </c>
      <c r="I467" t="s">
        <v>18</v>
      </c>
      <c r="J467" t="s">
        <v>29</v>
      </c>
      <c r="K467">
        <v>6</v>
      </c>
      <c r="L467">
        <v>1</v>
      </c>
      <c r="M467" s="2">
        <f t="shared" si="7"/>
        <v>12543.624000000002</v>
      </c>
      <c r="N467" s="2" t="str">
        <f>IF(Tabla1[[#This Row],[Aprobación_Veterinaria]]=1,"APROBADO","NO APROBADO")</f>
        <v>NO APROBADO</v>
      </c>
      <c r="O467" t="str">
        <f>IF(Tabla1[[#This Row],[Repite compra?]]=1,"REPITE","NO REPITE")</f>
        <v>REPITE</v>
      </c>
      <c r="P467" t="str">
        <f>IF(Tabla1[[#This Row],[rating_segun encuesta a Consumidor]]&lt;5,"Regular",IF(Tabla1[[#This Row],[rating_segun encuesta a Consumidor]]&gt;8,"Excelente","Bueno"))</f>
        <v>Bueno</v>
      </c>
    </row>
    <row r="468" spans="1:16" x14ac:dyDescent="0.35">
      <c r="A468" s="1">
        <v>44006</v>
      </c>
      <c r="B468">
        <v>4534</v>
      </c>
      <c r="C468" t="s">
        <v>20</v>
      </c>
      <c r="D468">
        <v>99</v>
      </c>
      <c r="E468">
        <v>181.68</v>
      </c>
      <c r="F468">
        <v>1</v>
      </c>
      <c r="G468" t="s">
        <v>34</v>
      </c>
      <c r="H468" t="s">
        <v>22</v>
      </c>
      <c r="I468" t="s">
        <v>28</v>
      </c>
      <c r="J468" t="s">
        <v>29</v>
      </c>
      <c r="K468">
        <v>10</v>
      </c>
      <c r="L468">
        <v>1</v>
      </c>
      <c r="M468" s="2">
        <f t="shared" si="7"/>
        <v>17986.32</v>
      </c>
      <c r="N468" s="2" t="str">
        <f>IF(Tabla1[[#This Row],[Aprobación_Veterinaria]]=1,"APROBADO","NO APROBADO")</f>
        <v>APROBADO</v>
      </c>
      <c r="O468" t="str">
        <f>IF(Tabla1[[#This Row],[Repite compra?]]=1,"REPITE","NO REPITE")</f>
        <v>REPITE</v>
      </c>
      <c r="P468" t="str">
        <f>IF(Tabla1[[#This Row],[rating_segun encuesta a Consumidor]]&lt;5,"Regular",IF(Tabla1[[#This Row],[rating_segun encuesta a Consumidor]]&gt;8,"Excelente","Bueno"))</f>
        <v>Excelente</v>
      </c>
    </row>
    <row r="469" spans="1:16" x14ac:dyDescent="0.35">
      <c r="A469" s="1">
        <v>44000</v>
      </c>
      <c r="B469">
        <v>4406</v>
      </c>
      <c r="C469" t="s">
        <v>47</v>
      </c>
      <c r="D469">
        <v>200</v>
      </c>
      <c r="E469">
        <v>118.584</v>
      </c>
      <c r="F469">
        <v>1</v>
      </c>
      <c r="G469" t="s">
        <v>36</v>
      </c>
      <c r="H469" t="s">
        <v>22</v>
      </c>
      <c r="I469" t="s">
        <v>45</v>
      </c>
      <c r="J469" t="s">
        <v>29</v>
      </c>
      <c r="K469">
        <v>6</v>
      </c>
      <c r="L469">
        <v>0</v>
      </c>
      <c r="M469" s="2">
        <f t="shared" si="7"/>
        <v>23716.799999999999</v>
      </c>
      <c r="N469" s="2" t="str">
        <f>IF(Tabla1[[#This Row],[Aprobación_Veterinaria]]=1,"APROBADO","NO APROBADO")</f>
        <v>APROBADO</v>
      </c>
      <c r="O469" t="str">
        <f>IF(Tabla1[[#This Row],[Repite compra?]]=1,"REPITE","NO REPITE")</f>
        <v>NO REPITE</v>
      </c>
      <c r="P469" t="str">
        <f>IF(Tabla1[[#This Row],[rating_segun encuesta a Consumidor]]&lt;5,"Regular",IF(Tabla1[[#This Row],[rating_segun encuesta a Consumidor]]&gt;8,"Excelente","Bueno"))</f>
        <v>Bueno</v>
      </c>
    </row>
    <row r="470" spans="1:16" x14ac:dyDescent="0.35">
      <c r="A470" s="1">
        <v>44061</v>
      </c>
      <c r="B470">
        <v>4239</v>
      </c>
      <c r="C470" t="s">
        <v>30</v>
      </c>
      <c r="D470">
        <v>93</v>
      </c>
      <c r="E470">
        <v>215.46</v>
      </c>
      <c r="F470">
        <v>1</v>
      </c>
      <c r="G470" t="s">
        <v>37</v>
      </c>
      <c r="H470" t="s">
        <v>22</v>
      </c>
      <c r="I470" t="s">
        <v>28</v>
      </c>
      <c r="J470" t="s">
        <v>23</v>
      </c>
      <c r="K470">
        <v>3</v>
      </c>
      <c r="L470">
        <v>1</v>
      </c>
      <c r="M470" s="2">
        <f t="shared" si="7"/>
        <v>20037.780000000002</v>
      </c>
      <c r="N470" s="2" t="str">
        <f>IF(Tabla1[[#This Row],[Aprobación_Veterinaria]]=1,"APROBADO","NO APROBADO")</f>
        <v>APROBADO</v>
      </c>
      <c r="O470" t="str">
        <f>IF(Tabla1[[#This Row],[Repite compra?]]=1,"REPITE","NO REPITE")</f>
        <v>REPITE</v>
      </c>
      <c r="P470" t="str">
        <f>IF(Tabla1[[#This Row],[rating_segun encuesta a Consumidor]]&lt;5,"Regular",IF(Tabla1[[#This Row],[rating_segun encuesta a Consumidor]]&gt;8,"Excelente","Bueno"))</f>
        <v>Regular</v>
      </c>
    </row>
    <row r="471" spans="1:16" x14ac:dyDescent="0.35">
      <c r="A471" s="1">
        <v>44002</v>
      </c>
      <c r="B471">
        <v>4585</v>
      </c>
      <c r="C471" t="s">
        <v>15</v>
      </c>
      <c r="D471">
        <v>107</v>
      </c>
      <c r="E471">
        <v>78.156000000000006</v>
      </c>
      <c r="F471">
        <v>1</v>
      </c>
      <c r="G471" t="s">
        <v>40</v>
      </c>
      <c r="H471" t="s">
        <v>22</v>
      </c>
      <c r="I471" t="s">
        <v>35</v>
      </c>
      <c r="J471" t="s">
        <v>23</v>
      </c>
      <c r="K471">
        <v>10</v>
      </c>
      <c r="L471">
        <v>1</v>
      </c>
      <c r="M471" s="2">
        <f t="shared" si="7"/>
        <v>8362.6920000000009</v>
      </c>
      <c r="N471" s="2" t="str">
        <f>IF(Tabla1[[#This Row],[Aprobación_Veterinaria]]=1,"APROBADO","NO APROBADO")</f>
        <v>APROBADO</v>
      </c>
      <c r="O471" t="str">
        <f>IF(Tabla1[[#This Row],[Repite compra?]]=1,"REPITE","NO REPITE")</f>
        <v>REPITE</v>
      </c>
      <c r="P471" t="str">
        <f>IF(Tabla1[[#This Row],[rating_segun encuesta a Consumidor]]&lt;5,"Regular",IF(Tabla1[[#This Row],[rating_segun encuesta a Consumidor]]&gt;8,"Excelente","Bueno"))</f>
        <v>Excelente</v>
      </c>
    </row>
    <row r="472" spans="1:16" x14ac:dyDescent="0.35">
      <c r="A472" s="1">
        <v>44109</v>
      </c>
      <c r="B472">
        <v>4583</v>
      </c>
      <c r="C472" t="s">
        <v>43</v>
      </c>
      <c r="D472">
        <v>228</v>
      </c>
      <c r="E472">
        <v>20.46</v>
      </c>
      <c r="F472">
        <v>1</v>
      </c>
      <c r="G472" t="s">
        <v>16</v>
      </c>
      <c r="H472" t="s">
        <v>22</v>
      </c>
      <c r="I472" t="s">
        <v>41</v>
      </c>
      <c r="J472" t="s">
        <v>23</v>
      </c>
      <c r="K472">
        <v>10</v>
      </c>
      <c r="L472">
        <v>1</v>
      </c>
      <c r="M472" s="2">
        <f t="shared" si="7"/>
        <v>4664.88</v>
      </c>
      <c r="N472" s="2" t="str">
        <f>IF(Tabla1[[#This Row],[Aprobación_Veterinaria]]=1,"APROBADO","NO APROBADO")</f>
        <v>APROBADO</v>
      </c>
      <c r="O472" t="str">
        <f>IF(Tabla1[[#This Row],[Repite compra?]]=1,"REPITE","NO REPITE")</f>
        <v>REPITE</v>
      </c>
      <c r="P472" t="str">
        <f>IF(Tabla1[[#This Row],[rating_segun encuesta a Consumidor]]&lt;5,"Regular",IF(Tabla1[[#This Row],[rating_segun encuesta a Consumidor]]&gt;8,"Excelente","Bueno"))</f>
        <v>Excelente</v>
      </c>
    </row>
    <row r="473" spans="1:16" x14ac:dyDescent="0.35">
      <c r="A473" s="1">
        <v>44045</v>
      </c>
      <c r="B473">
        <v>5039</v>
      </c>
      <c r="C473" t="s">
        <v>20</v>
      </c>
      <c r="D473">
        <v>29</v>
      </c>
      <c r="E473">
        <v>61.74</v>
      </c>
      <c r="F473">
        <v>1</v>
      </c>
      <c r="G473" t="s">
        <v>21</v>
      </c>
      <c r="H473" t="s">
        <v>52</v>
      </c>
      <c r="I473" t="s">
        <v>41</v>
      </c>
      <c r="J473" t="s">
        <v>49</v>
      </c>
      <c r="K473">
        <v>7</v>
      </c>
      <c r="L473">
        <v>1</v>
      </c>
      <c r="M473" s="2">
        <f t="shared" si="7"/>
        <v>1790.46</v>
      </c>
      <c r="N473" s="2" t="str">
        <f>IF(Tabla1[[#This Row],[Aprobación_Veterinaria]]=1,"APROBADO","NO APROBADO")</f>
        <v>APROBADO</v>
      </c>
      <c r="O473" t="str">
        <f>IF(Tabla1[[#This Row],[Repite compra?]]=1,"REPITE","NO REPITE")</f>
        <v>REPITE</v>
      </c>
      <c r="P473" t="str">
        <f>IF(Tabla1[[#This Row],[rating_segun encuesta a Consumidor]]&lt;5,"Regular",IF(Tabla1[[#This Row],[rating_segun encuesta a Consumidor]]&gt;8,"Excelente","Bueno"))</f>
        <v>Bueno</v>
      </c>
    </row>
    <row r="474" spans="1:16" x14ac:dyDescent="0.35">
      <c r="A474" s="1">
        <v>44126</v>
      </c>
      <c r="B474">
        <v>4770</v>
      </c>
      <c r="C474" t="s">
        <v>15</v>
      </c>
      <c r="D474">
        <v>92</v>
      </c>
      <c r="E474">
        <v>23.076000000000001</v>
      </c>
      <c r="F474">
        <v>0</v>
      </c>
      <c r="G474" t="s">
        <v>24</v>
      </c>
      <c r="H474" t="s">
        <v>44</v>
      </c>
      <c r="I474" t="s">
        <v>18</v>
      </c>
      <c r="J474" t="s">
        <v>29</v>
      </c>
      <c r="K474">
        <v>7</v>
      </c>
      <c r="L474">
        <v>1</v>
      </c>
      <c r="M474" s="2">
        <f t="shared" si="7"/>
        <v>2122.9920000000002</v>
      </c>
      <c r="N474" s="2" t="str">
        <f>IF(Tabla1[[#This Row],[Aprobación_Veterinaria]]=1,"APROBADO","NO APROBADO")</f>
        <v>NO APROBADO</v>
      </c>
      <c r="O474" t="str">
        <f>IF(Tabla1[[#This Row],[Repite compra?]]=1,"REPITE","NO REPITE")</f>
        <v>REPITE</v>
      </c>
      <c r="P474" t="str">
        <f>IF(Tabla1[[#This Row],[rating_segun encuesta a Consumidor]]&lt;5,"Regular",IF(Tabla1[[#This Row],[rating_segun encuesta a Consumidor]]&gt;8,"Excelente","Bueno"))</f>
        <v>Bueno</v>
      </c>
    </row>
    <row r="475" spans="1:16" x14ac:dyDescent="0.35">
      <c r="A475" s="1">
        <v>44068</v>
      </c>
      <c r="B475">
        <v>4755</v>
      </c>
      <c r="C475" t="s">
        <v>43</v>
      </c>
      <c r="D475">
        <v>157</v>
      </c>
      <c r="E475">
        <v>2.1720000000000002</v>
      </c>
      <c r="F475">
        <v>1</v>
      </c>
      <c r="G475" t="s">
        <v>27</v>
      </c>
      <c r="H475" t="s">
        <v>44</v>
      </c>
      <c r="I475" t="s">
        <v>41</v>
      </c>
      <c r="J475" t="s">
        <v>23</v>
      </c>
      <c r="K475">
        <v>7</v>
      </c>
      <c r="L475">
        <v>1</v>
      </c>
      <c r="M475" s="2">
        <f t="shared" si="7"/>
        <v>341.00400000000002</v>
      </c>
      <c r="N475" s="2" t="str">
        <f>IF(Tabla1[[#This Row],[Aprobación_Veterinaria]]=1,"APROBADO","NO APROBADO")</f>
        <v>APROBADO</v>
      </c>
      <c r="O475" t="str">
        <f>IF(Tabla1[[#This Row],[Repite compra?]]=1,"REPITE","NO REPITE")</f>
        <v>REPITE</v>
      </c>
      <c r="P475" t="str">
        <f>IF(Tabla1[[#This Row],[rating_segun encuesta a Consumidor]]&lt;5,"Regular",IF(Tabla1[[#This Row],[rating_segun encuesta a Consumidor]]&gt;8,"Excelente","Bueno"))</f>
        <v>Bueno</v>
      </c>
    </row>
    <row r="476" spans="1:16" x14ac:dyDescent="0.35">
      <c r="A476" s="1">
        <v>44163</v>
      </c>
      <c r="B476">
        <v>4958</v>
      </c>
      <c r="C476" t="s">
        <v>20</v>
      </c>
      <c r="D476">
        <v>121</v>
      </c>
      <c r="E476">
        <v>37.884</v>
      </c>
      <c r="F476">
        <v>0</v>
      </c>
      <c r="G476" t="s">
        <v>31</v>
      </c>
      <c r="H476" t="s">
        <v>50</v>
      </c>
      <c r="I476" t="s">
        <v>18</v>
      </c>
      <c r="J476" t="s">
        <v>19</v>
      </c>
      <c r="K476">
        <v>6</v>
      </c>
      <c r="L476">
        <v>0</v>
      </c>
      <c r="M476" s="2">
        <f t="shared" si="7"/>
        <v>4583.9639999999999</v>
      </c>
      <c r="N476" s="2" t="str">
        <f>IF(Tabla1[[#This Row],[Aprobación_Veterinaria]]=1,"APROBADO","NO APROBADO")</f>
        <v>NO APROBADO</v>
      </c>
      <c r="O476" t="str">
        <f>IF(Tabla1[[#This Row],[Repite compra?]]=1,"REPITE","NO REPITE")</f>
        <v>NO REPITE</v>
      </c>
      <c r="P476" t="str">
        <f>IF(Tabla1[[#This Row],[rating_segun encuesta a Consumidor]]&lt;5,"Regular",IF(Tabla1[[#This Row],[rating_segun encuesta a Consumidor]]&gt;8,"Excelente","Bueno"))</f>
        <v>Bueno</v>
      </c>
    </row>
    <row r="477" spans="1:16" x14ac:dyDescent="0.35">
      <c r="A477" s="1">
        <v>44064</v>
      </c>
      <c r="B477">
        <v>4279</v>
      </c>
      <c r="C477" t="s">
        <v>32</v>
      </c>
      <c r="D477">
        <v>13</v>
      </c>
      <c r="E477">
        <v>84.072000000000003</v>
      </c>
      <c r="F477">
        <v>1</v>
      </c>
      <c r="G477" t="s">
        <v>33</v>
      </c>
      <c r="H477" t="s">
        <v>22</v>
      </c>
      <c r="I477" t="s">
        <v>28</v>
      </c>
      <c r="J477" t="s">
        <v>25</v>
      </c>
      <c r="K477">
        <v>1</v>
      </c>
      <c r="L477">
        <v>1</v>
      </c>
      <c r="M477" s="2">
        <f t="shared" si="7"/>
        <v>1092.9360000000001</v>
      </c>
      <c r="N477" s="2" t="str">
        <f>IF(Tabla1[[#This Row],[Aprobación_Veterinaria]]=1,"APROBADO","NO APROBADO")</f>
        <v>APROBADO</v>
      </c>
      <c r="O477" t="str">
        <f>IF(Tabla1[[#This Row],[Repite compra?]]=1,"REPITE","NO REPITE")</f>
        <v>REPITE</v>
      </c>
      <c r="P477" t="str">
        <f>IF(Tabla1[[#This Row],[rating_segun encuesta a Consumidor]]&lt;5,"Regular",IF(Tabla1[[#This Row],[rating_segun encuesta a Consumidor]]&gt;8,"Excelente","Bueno"))</f>
        <v>Regular</v>
      </c>
    </row>
    <row r="478" spans="1:16" x14ac:dyDescent="0.35">
      <c r="A478" s="1">
        <v>44175</v>
      </c>
      <c r="B478">
        <v>4676</v>
      </c>
      <c r="C478" t="s">
        <v>42</v>
      </c>
      <c r="D478">
        <v>205</v>
      </c>
      <c r="E478">
        <v>116.42400000000001</v>
      </c>
      <c r="F478">
        <v>1</v>
      </c>
      <c r="G478" t="s">
        <v>34</v>
      </c>
      <c r="H478" t="s">
        <v>22</v>
      </c>
      <c r="I478" t="s">
        <v>45</v>
      </c>
      <c r="J478" t="s">
        <v>29</v>
      </c>
      <c r="K478">
        <v>10</v>
      </c>
      <c r="L478">
        <v>0</v>
      </c>
      <c r="M478" s="2">
        <f t="shared" si="7"/>
        <v>23866.920000000002</v>
      </c>
      <c r="N478" s="2" t="str">
        <f>IF(Tabla1[[#This Row],[Aprobación_Veterinaria]]=1,"APROBADO","NO APROBADO")</f>
        <v>APROBADO</v>
      </c>
      <c r="O478" t="str">
        <f>IF(Tabla1[[#This Row],[Repite compra?]]=1,"REPITE","NO REPITE")</f>
        <v>NO REPITE</v>
      </c>
      <c r="P478" t="str">
        <f>IF(Tabla1[[#This Row],[rating_segun encuesta a Consumidor]]&lt;5,"Regular",IF(Tabla1[[#This Row],[rating_segun encuesta a Consumidor]]&gt;8,"Excelente","Bueno"))</f>
        <v>Excelente</v>
      </c>
    </row>
    <row r="479" spans="1:16" x14ac:dyDescent="0.35">
      <c r="A479" s="1">
        <v>44105</v>
      </c>
      <c r="B479">
        <v>4563</v>
      </c>
      <c r="C479" t="s">
        <v>15</v>
      </c>
      <c r="D479">
        <v>25</v>
      </c>
      <c r="E479">
        <v>142.428</v>
      </c>
      <c r="F479">
        <v>0</v>
      </c>
      <c r="G479" t="s">
        <v>36</v>
      </c>
      <c r="H479" t="s">
        <v>22</v>
      </c>
      <c r="I479" t="s">
        <v>41</v>
      </c>
      <c r="J479" t="s">
        <v>23</v>
      </c>
      <c r="K479">
        <v>10</v>
      </c>
      <c r="L479">
        <v>0</v>
      </c>
      <c r="M479" s="2">
        <f t="shared" si="7"/>
        <v>3560.7</v>
      </c>
      <c r="N479" s="2" t="str">
        <f>IF(Tabla1[[#This Row],[Aprobación_Veterinaria]]=1,"APROBADO","NO APROBADO")</f>
        <v>NO APROBADO</v>
      </c>
      <c r="O479" t="str">
        <f>IF(Tabla1[[#This Row],[Repite compra?]]=1,"REPITE","NO REPITE")</f>
        <v>NO REPITE</v>
      </c>
      <c r="P479" t="str">
        <f>IF(Tabla1[[#This Row],[rating_segun encuesta a Consumidor]]&lt;5,"Regular",IF(Tabla1[[#This Row],[rating_segun encuesta a Consumidor]]&gt;8,"Excelente","Bueno"))</f>
        <v>Excelente</v>
      </c>
    </row>
    <row r="480" spans="1:16" x14ac:dyDescent="0.35">
      <c r="A480" s="1">
        <v>43925</v>
      </c>
      <c r="B480">
        <v>4312</v>
      </c>
      <c r="C480" t="s">
        <v>32</v>
      </c>
      <c r="D480">
        <v>171</v>
      </c>
      <c r="E480">
        <v>153.94800000000001</v>
      </c>
      <c r="F480">
        <v>0</v>
      </c>
      <c r="G480" t="s">
        <v>37</v>
      </c>
      <c r="H480" t="s">
        <v>22</v>
      </c>
      <c r="I480" t="s">
        <v>18</v>
      </c>
      <c r="J480" t="s">
        <v>29</v>
      </c>
      <c r="K480">
        <v>7</v>
      </c>
      <c r="L480">
        <v>1</v>
      </c>
      <c r="M480" s="2">
        <f t="shared" si="7"/>
        <v>26325.108</v>
      </c>
      <c r="N480" s="2" t="str">
        <f>IF(Tabla1[[#This Row],[Aprobación_Veterinaria]]=1,"APROBADO","NO APROBADO")</f>
        <v>NO APROBADO</v>
      </c>
      <c r="O480" t="str">
        <f>IF(Tabla1[[#This Row],[Repite compra?]]=1,"REPITE","NO REPITE")</f>
        <v>REPITE</v>
      </c>
      <c r="P480" t="str">
        <f>IF(Tabla1[[#This Row],[rating_segun encuesta a Consumidor]]&lt;5,"Regular",IF(Tabla1[[#This Row],[rating_segun encuesta a Consumidor]]&gt;8,"Excelente","Bueno"))</f>
        <v>Bueno</v>
      </c>
    </row>
    <row r="481" spans="1:16" x14ac:dyDescent="0.35">
      <c r="A481" s="1">
        <v>44116</v>
      </c>
      <c r="B481">
        <v>4947</v>
      </c>
      <c r="C481" t="s">
        <v>15</v>
      </c>
      <c r="D481">
        <v>95</v>
      </c>
      <c r="E481">
        <v>99.396000000000001</v>
      </c>
      <c r="F481">
        <v>0</v>
      </c>
      <c r="G481" t="s">
        <v>40</v>
      </c>
      <c r="H481" t="s">
        <v>38</v>
      </c>
      <c r="I481" t="s">
        <v>41</v>
      </c>
      <c r="J481" t="s">
        <v>23</v>
      </c>
      <c r="K481">
        <v>6</v>
      </c>
      <c r="L481">
        <v>0</v>
      </c>
      <c r="M481" s="2">
        <f t="shared" si="7"/>
        <v>9442.6200000000008</v>
      </c>
      <c r="N481" s="2" t="str">
        <f>IF(Tabla1[[#This Row],[Aprobación_Veterinaria]]=1,"APROBADO","NO APROBADO")</f>
        <v>NO APROBADO</v>
      </c>
      <c r="O481" t="str">
        <f>IF(Tabla1[[#This Row],[Repite compra?]]=1,"REPITE","NO REPITE")</f>
        <v>NO REPITE</v>
      </c>
      <c r="P481" t="str">
        <f>IF(Tabla1[[#This Row],[rating_segun encuesta a Consumidor]]&lt;5,"Regular",IF(Tabla1[[#This Row],[rating_segun encuesta a Consumidor]]&gt;8,"Excelente","Bueno"))</f>
        <v>Bueno</v>
      </c>
    </row>
    <row r="482" spans="1:16" x14ac:dyDescent="0.35">
      <c r="A482" s="1">
        <v>43950</v>
      </c>
      <c r="B482">
        <v>4596</v>
      </c>
      <c r="C482" t="s">
        <v>15</v>
      </c>
      <c r="D482">
        <v>65</v>
      </c>
      <c r="E482">
        <v>166.92000000000002</v>
      </c>
      <c r="F482">
        <v>0</v>
      </c>
      <c r="G482" t="s">
        <v>16</v>
      </c>
      <c r="H482" t="s">
        <v>22</v>
      </c>
      <c r="I482" t="s">
        <v>45</v>
      </c>
      <c r="J482" t="s">
        <v>29</v>
      </c>
      <c r="K482">
        <v>10</v>
      </c>
      <c r="L482">
        <v>1</v>
      </c>
      <c r="M482" s="2">
        <f t="shared" si="7"/>
        <v>10849.800000000001</v>
      </c>
      <c r="N482" s="2" t="str">
        <f>IF(Tabla1[[#This Row],[Aprobación_Veterinaria]]=1,"APROBADO","NO APROBADO")</f>
        <v>NO APROBADO</v>
      </c>
      <c r="O482" t="str">
        <f>IF(Tabla1[[#This Row],[Repite compra?]]=1,"REPITE","NO REPITE")</f>
        <v>REPITE</v>
      </c>
      <c r="P482" t="str">
        <f>IF(Tabla1[[#This Row],[rating_segun encuesta a Consumidor]]&lt;5,"Regular",IF(Tabla1[[#This Row],[rating_segun encuesta a Consumidor]]&gt;8,"Excelente","Bueno"))</f>
        <v>Excelente</v>
      </c>
    </row>
    <row r="483" spans="1:16" x14ac:dyDescent="0.35">
      <c r="A483" s="1">
        <v>44092</v>
      </c>
      <c r="B483">
        <v>4512</v>
      </c>
      <c r="C483" t="s">
        <v>20</v>
      </c>
      <c r="D483">
        <v>219</v>
      </c>
      <c r="E483">
        <v>88.2</v>
      </c>
      <c r="F483">
        <v>1</v>
      </c>
      <c r="G483" t="s">
        <v>21</v>
      </c>
      <c r="H483" t="s">
        <v>22</v>
      </c>
      <c r="I483" t="s">
        <v>18</v>
      </c>
      <c r="J483" t="s">
        <v>29</v>
      </c>
      <c r="K483">
        <v>1</v>
      </c>
      <c r="L483">
        <v>0</v>
      </c>
      <c r="M483" s="2">
        <f t="shared" si="7"/>
        <v>19315.8</v>
      </c>
      <c r="N483" s="2" t="str">
        <f>IF(Tabla1[[#This Row],[Aprobación_Veterinaria]]=1,"APROBADO","NO APROBADO")</f>
        <v>APROBADO</v>
      </c>
      <c r="O483" t="str">
        <f>IF(Tabla1[[#This Row],[Repite compra?]]=1,"REPITE","NO REPITE")</f>
        <v>NO REPITE</v>
      </c>
      <c r="P483" t="str">
        <f>IF(Tabla1[[#This Row],[rating_segun encuesta a Consumidor]]&lt;5,"Regular",IF(Tabla1[[#This Row],[rating_segun encuesta a Consumidor]]&gt;8,"Excelente","Bueno"))</f>
        <v>Regular</v>
      </c>
    </row>
    <row r="484" spans="1:16" x14ac:dyDescent="0.35">
      <c r="A484" s="1">
        <v>43957</v>
      </c>
      <c r="B484">
        <v>4869</v>
      </c>
      <c r="C484" t="s">
        <v>15</v>
      </c>
      <c r="D484">
        <v>77</v>
      </c>
      <c r="E484">
        <v>184.29599999999999</v>
      </c>
      <c r="F484">
        <v>1</v>
      </c>
      <c r="G484" t="s">
        <v>24</v>
      </c>
      <c r="H484" t="s">
        <v>54</v>
      </c>
      <c r="I484" t="s">
        <v>41</v>
      </c>
      <c r="J484" t="s">
        <v>23</v>
      </c>
      <c r="K484">
        <v>6</v>
      </c>
      <c r="L484">
        <v>0</v>
      </c>
      <c r="M484" s="2">
        <f t="shared" si="7"/>
        <v>14190.791999999999</v>
      </c>
      <c r="N484" s="2" t="str">
        <f>IF(Tabla1[[#This Row],[Aprobación_Veterinaria]]=1,"APROBADO","NO APROBADO")</f>
        <v>APROBADO</v>
      </c>
      <c r="O484" t="str">
        <f>IF(Tabla1[[#This Row],[Repite compra?]]=1,"REPITE","NO REPITE")</f>
        <v>NO REPITE</v>
      </c>
      <c r="P484" t="str">
        <f>IF(Tabla1[[#This Row],[rating_segun encuesta a Consumidor]]&lt;5,"Regular",IF(Tabla1[[#This Row],[rating_segun encuesta a Consumidor]]&gt;8,"Excelente","Bueno"))</f>
        <v>Bueno</v>
      </c>
    </row>
    <row r="485" spans="1:16" x14ac:dyDescent="0.35">
      <c r="A485" s="1">
        <v>44061</v>
      </c>
      <c r="B485">
        <v>4519</v>
      </c>
      <c r="C485" t="s">
        <v>15</v>
      </c>
      <c r="D485">
        <v>166</v>
      </c>
      <c r="E485">
        <v>10.295999999999999</v>
      </c>
      <c r="F485">
        <v>0</v>
      </c>
      <c r="G485" t="s">
        <v>27</v>
      </c>
      <c r="H485" t="s">
        <v>22</v>
      </c>
      <c r="I485" t="s">
        <v>28</v>
      </c>
      <c r="J485" t="s">
        <v>23</v>
      </c>
      <c r="K485">
        <v>8</v>
      </c>
      <c r="L485">
        <v>0</v>
      </c>
      <c r="M485" s="2">
        <f t="shared" si="7"/>
        <v>1709.136</v>
      </c>
      <c r="N485" s="2" t="str">
        <f>IF(Tabla1[[#This Row],[Aprobación_Veterinaria]]=1,"APROBADO","NO APROBADO")</f>
        <v>NO APROBADO</v>
      </c>
      <c r="O485" t="str">
        <f>IF(Tabla1[[#This Row],[Repite compra?]]=1,"REPITE","NO REPITE")</f>
        <v>NO REPITE</v>
      </c>
      <c r="P485" t="str">
        <f>IF(Tabla1[[#This Row],[rating_segun encuesta a Consumidor]]&lt;5,"Regular",IF(Tabla1[[#This Row],[rating_segun encuesta a Consumidor]]&gt;8,"Excelente","Bueno"))</f>
        <v>Bueno</v>
      </c>
    </row>
    <row r="486" spans="1:16" x14ac:dyDescent="0.35">
      <c r="A486" s="1">
        <v>44032</v>
      </c>
      <c r="B486">
        <v>4420</v>
      </c>
      <c r="C486" t="s">
        <v>15</v>
      </c>
      <c r="D486">
        <v>95</v>
      </c>
      <c r="E486">
        <v>20.94</v>
      </c>
      <c r="F486">
        <v>1</v>
      </c>
      <c r="G486" t="s">
        <v>31</v>
      </c>
      <c r="H486" t="s">
        <v>22</v>
      </c>
      <c r="I486" t="s">
        <v>35</v>
      </c>
      <c r="J486" t="s">
        <v>29</v>
      </c>
      <c r="K486">
        <v>2</v>
      </c>
      <c r="L486">
        <v>1</v>
      </c>
      <c r="M486" s="2">
        <f t="shared" si="7"/>
        <v>1989.3000000000002</v>
      </c>
      <c r="N486" s="2" t="str">
        <f>IF(Tabla1[[#This Row],[Aprobación_Veterinaria]]=1,"APROBADO","NO APROBADO")</f>
        <v>APROBADO</v>
      </c>
      <c r="O486" t="str">
        <f>IF(Tabla1[[#This Row],[Repite compra?]]=1,"REPITE","NO REPITE")</f>
        <v>REPITE</v>
      </c>
      <c r="P486" t="str">
        <f>IF(Tabla1[[#This Row],[rating_segun encuesta a Consumidor]]&lt;5,"Regular",IF(Tabla1[[#This Row],[rating_segun encuesta a Consumidor]]&gt;8,"Excelente","Bueno"))</f>
        <v>Regular</v>
      </c>
    </row>
    <row r="487" spans="1:16" x14ac:dyDescent="0.35">
      <c r="A487" s="1">
        <v>44157</v>
      </c>
      <c r="B487">
        <v>4966</v>
      </c>
      <c r="C487" t="s">
        <v>26</v>
      </c>
      <c r="D487">
        <v>137</v>
      </c>
      <c r="E487">
        <v>65.495999999999995</v>
      </c>
      <c r="F487">
        <v>1</v>
      </c>
      <c r="G487" t="s">
        <v>33</v>
      </c>
      <c r="H487" t="s">
        <v>48</v>
      </c>
      <c r="I487" t="s">
        <v>18</v>
      </c>
      <c r="J487" t="s">
        <v>19</v>
      </c>
      <c r="K487">
        <v>6</v>
      </c>
      <c r="L487">
        <v>0</v>
      </c>
      <c r="M487" s="2">
        <f t="shared" si="7"/>
        <v>8972.9519999999993</v>
      </c>
      <c r="N487" s="2" t="str">
        <f>IF(Tabla1[[#This Row],[Aprobación_Veterinaria]]=1,"APROBADO","NO APROBADO")</f>
        <v>APROBADO</v>
      </c>
      <c r="O487" t="str">
        <f>IF(Tabla1[[#This Row],[Repite compra?]]=1,"REPITE","NO REPITE")</f>
        <v>NO REPITE</v>
      </c>
      <c r="P487" t="str">
        <f>IF(Tabla1[[#This Row],[rating_segun encuesta a Consumidor]]&lt;5,"Regular",IF(Tabla1[[#This Row],[rating_segun encuesta a Consumidor]]&gt;8,"Excelente","Bueno"))</f>
        <v>Bueno</v>
      </c>
    </row>
    <row r="488" spans="1:16" x14ac:dyDescent="0.35">
      <c r="A488" s="1">
        <v>43871</v>
      </c>
      <c r="B488">
        <v>4942</v>
      </c>
      <c r="C488" t="s">
        <v>26</v>
      </c>
      <c r="D488">
        <v>22</v>
      </c>
      <c r="E488">
        <v>17.868000000000002</v>
      </c>
      <c r="F488">
        <v>0</v>
      </c>
      <c r="G488" t="s">
        <v>34</v>
      </c>
      <c r="H488" t="s">
        <v>38</v>
      </c>
      <c r="I488" t="s">
        <v>18</v>
      </c>
      <c r="J488" t="s">
        <v>29</v>
      </c>
      <c r="K488">
        <v>6</v>
      </c>
      <c r="L488">
        <v>0</v>
      </c>
      <c r="M488" s="2">
        <f t="shared" si="7"/>
        <v>393.09600000000006</v>
      </c>
      <c r="N488" s="2" t="str">
        <f>IF(Tabla1[[#This Row],[Aprobación_Veterinaria]]=1,"APROBADO","NO APROBADO")</f>
        <v>NO APROBADO</v>
      </c>
      <c r="O488" t="str">
        <f>IF(Tabla1[[#This Row],[Repite compra?]]=1,"REPITE","NO REPITE")</f>
        <v>NO REPITE</v>
      </c>
      <c r="P488" t="str">
        <f>IF(Tabla1[[#This Row],[rating_segun encuesta a Consumidor]]&lt;5,"Regular",IF(Tabla1[[#This Row],[rating_segun encuesta a Consumidor]]&gt;8,"Excelente","Bueno"))</f>
        <v>Bueno</v>
      </c>
    </row>
    <row r="489" spans="1:16" x14ac:dyDescent="0.35">
      <c r="A489" s="1">
        <v>43996</v>
      </c>
      <c r="B489">
        <v>4687</v>
      </c>
      <c r="C489" t="s">
        <v>39</v>
      </c>
      <c r="D489">
        <v>136</v>
      </c>
      <c r="E489">
        <v>183.93600000000001</v>
      </c>
      <c r="F489">
        <v>0</v>
      </c>
      <c r="G489" t="s">
        <v>36</v>
      </c>
      <c r="H489" t="s">
        <v>38</v>
      </c>
      <c r="I489" t="s">
        <v>18</v>
      </c>
      <c r="J489" t="s">
        <v>23</v>
      </c>
      <c r="K489">
        <v>10</v>
      </c>
      <c r="L489">
        <v>1</v>
      </c>
      <c r="M489" s="2">
        <f t="shared" si="7"/>
        <v>25015.296000000002</v>
      </c>
      <c r="N489" s="2" t="str">
        <f>IF(Tabla1[[#This Row],[Aprobación_Veterinaria]]=1,"APROBADO","NO APROBADO")</f>
        <v>NO APROBADO</v>
      </c>
      <c r="O489" t="str">
        <f>IF(Tabla1[[#This Row],[Repite compra?]]=1,"REPITE","NO REPITE")</f>
        <v>REPITE</v>
      </c>
      <c r="P489" t="str">
        <f>IF(Tabla1[[#This Row],[rating_segun encuesta a Consumidor]]&lt;5,"Regular",IF(Tabla1[[#This Row],[rating_segun encuesta a Consumidor]]&gt;8,"Excelente","Bueno"))</f>
        <v>Excelente</v>
      </c>
    </row>
    <row r="490" spans="1:16" x14ac:dyDescent="0.35">
      <c r="A490" s="1">
        <v>43928</v>
      </c>
      <c r="B490">
        <v>4555</v>
      </c>
      <c r="C490" t="s">
        <v>42</v>
      </c>
      <c r="D490">
        <v>26</v>
      </c>
      <c r="E490">
        <v>137.04</v>
      </c>
      <c r="F490">
        <v>0</v>
      </c>
      <c r="G490" t="s">
        <v>37</v>
      </c>
      <c r="H490" t="s">
        <v>22</v>
      </c>
      <c r="I490" t="s">
        <v>35</v>
      </c>
      <c r="J490" t="s">
        <v>23</v>
      </c>
      <c r="K490">
        <v>10</v>
      </c>
      <c r="L490">
        <v>0</v>
      </c>
      <c r="M490" s="2">
        <f t="shared" si="7"/>
        <v>3563.04</v>
      </c>
      <c r="N490" s="2" t="str">
        <f>IF(Tabla1[[#This Row],[Aprobación_Veterinaria]]=1,"APROBADO","NO APROBADO")</f>
        <v>NO APROBADO</v>
      </c>
      <c r="O490" t="str">
        <f>IF(Tabla1[[#This Row],[Repite compra?]]=1,"REPITE","NO REPITE")</f>
        <v>NO REPITE</v>
      </c>
      <c r="P490" t="str">
        <f>IF(Tabla1[[#This Row],[rating_segun encuesta a Consumidor]]&lt;5,"Regular",IF(Tabla1[[#This Row],[rating_segun encuesta a Consumidor]]&gt;8,"Excelente","Bueno"))</f>
        <v>Excelente</v>
      </c>
    </row>
    <row r="491" spans="1:16" x14ac:dyDescent="0.35">
      <c r="A491" s="1">
        <v>43919</v>
      </c>
      <c r="B491">
        <v>4902</v>
      </c>
      <c r="C491" t="s">
        <v>15</v>
      </c>
      <c r="D491">
        <v>70</v>
      </c>
      <c r="E491">
        <v>25.2</v>
      </c>
      <c r="F491">
        <v>0</v>
      </c>
      <c r="G491" t="s">
        <v>40</v>
      </c>
      <c r="H491" t="s">
        <v>38</v>
      </c>
      <c r="I491" t="s">
        <v>18</v>
      </c>
      <c r="J491" t="s">
        <v>29</v>
      </c>
      <c r="K491">
        <v>6</v>
      </c>
      <c r="L491">
        <v>0</v>
      </c>
      <c r="M491" s="2">
        <f t="shared" si="7"/>
        <v>1764</v>
      </c>
      <c r="N491" s="2" t="str">
        <f>IF(Tabla1[[#This Row],[Aprobación_Veterinaria]]=1,"APROBADO","NO APROBADO")</f>
        <v>NO APROBADO</v>
      </c>
      <c r="O491" t="str">
        <f>IF(Tabla1[[#This Row],[Repite compra?]]=1,"REPITE","NO REPITE")</f>
        <v>NO REPITE</v>
      </c>
      <c r="P491" t="str">
        <f>IF(Tabla1[[#This Row],[rating_segun encuesta a Consumidor]]&lt;5,"Regular",IF(Tabla1[[#This Row],[rating_segun encuesta a Consumidor]]&gt;8,"Excelente","Bueno"))</f>
        <v>Bueno</v>
      </c>
    </row>
    <row r="492" spans="1:16" x14ac:dyDescent="0.35">
      <c r="A492" s="1">
        <v>43944</v>
      </c>
      <c r="B492">
        <v>4623</v>
      </c>
      <c r="C492" t="s">
        <v>39</v>
      </c>
      <c r="D492">
        <v>74</v>
      </c>
      <c r="E492">
        <v>107.004</v>
      </c>
      <c r="F492">
        <v>0</v>
      </c>
      <c r="G492" t="s">
        <v>16</v>
      </c>
      <c r="H492" t="s">
        <v>22</v>
      </c>
      <c r="I492" t="s">
        <v>41</v>
      </c>
      <c r="J492" t="s">
        <v>23</v>
      </c>
      <c r="K492">
        <v>10</v>
      </c>
      <c r="L492">
        <v>1</v>
      </c>
      <c r="M492" s="2">
        <f t="shared" si="7"/>
        <v>7918.2960000000003</v>
      </c>
      <c r="N492" s="2" t="str">
        <f>IF(Tabla1[[#This Row],[Aprobación_Veterinaria]]=1,"APROBADO","NO APROBADO")</f>
        <v>NO APROBADO</v>
      </c>
      <c r="O492" t="str">
        <f>IF(Tabla1[[#This Row],[Repite compra?]]=1,"REPITE","NO REPITE")</f>
        <v>REPITE</v>
      </c>
      <c r="P492" t="str">
        <f>IF(Tabla1[[#This Row],[rating_segun encuesta a Consumidor]]&lt;5,"Regular",IF(Tabla1[[#This Row],[rating_segun encuesta a Consumidor]]&gt;8,"Excelente","Bueno"))</f>
        <v>Excelente</v>
      </c>
    </row>
    <row r="493" spans="1:16" x14ac:dyDescent="0.35">
      <c r="A493" s="1">
        <v>44188</v>
      </c>
      <c r="B493">
        <v>4232</v>
      </c>
      <c r="C493" t="s">
        <v>26</v>
      </c>
      <c r="D493">
        <v>208</v>
      </c>
      <c r="E493">
        <v>178.428</v>
      </c>
      <c r="F493">
        <v>0</v>
      </c>
      <c r="G493" t="s">
        <v>21</v>
      </c>
      <c r="H493" t="s">
        <v>22</v>
      </c>
      <c r="I493" t="s">
        <v>18</v>
      </c>
      <c r="J493" t="s">
        <v>29</v>
      </c>
      <c r="K493">
        <v>3</v>
      </c>
      <c r="L493">
        <v>1</v>
      </c>
      <c r="M493" s="2">
        <f t="shared" si="7"/>
        <v>37113.023999999998</v>
      </c>
      <c r="N493" s="2" t="str">
        <f>IF(Tabla1[[#This Row],[Aprobación_Veterinaria]]=1,"APROBADO","NO APROBADO")</f>
        <v>NO APROBADO</v>
      </c>
      <c r="O493" t="str">
        <f>IF(Tabla1[[#This Row],[Repite compra?]]=1,"REPITE","NO REPITE")</f>
        <v>REPITE</v>
      </c>
      <c r="P493" t="str">
        <f>IF(Tabla1[[#This Row],[rating_segun encuesta a Consumidor]]&lt;5,"Regular",IF(Tabla1[[#This Row],[rating_segun encuesta a Consumidor]]&gt;8,"Excelente","Bueno"))</f>
        <v>Regular</v>
      </c>
    </row>
    <row r="494" spans="1:16" x14ac:dyDescent="0.35">
      <c r="A494" s="1">
        <v>44103</v>
      </c>
      <c r="B494">
        <v>4303</v>
      </c>
      <c r="C494" t="s">
        <v>20</v>
      </c>
      <c r="D494">
        <v>63</v>
      </c>
      <c r="E494">
        <v>95.64</v>
      </c>
      <c r="F494">
        <v>0</v>
      </c>
      <c r="G494" t="s">
        <v>24</v>
      </c>
      <c r="H494" t="s">
        <v>22</v>
      </c>
      <c r="I494" t="s">
        <v>41</v>
      </c>
      <c r="J494" t="s">
        <v>25</v>
      </c>
      <c r="K494">
        <v>10</v>
      </c>
      <c r="L494">
        <v>0</v>
      </c>
      <c r="M494" s="2">
        <f t="shared" si="7"/>
        <v>6025.32</v>
      </c>
      <c r="N494" s="2" t="str">
        <f>IF(Tabla1[[#This Row],[Aprobación_Veterinaria]]=1,"APROBADO","NO APROBADO")</f>
        <v>NO APROBADO</v>
      </c>
      <c r="O494" t="str">
        <f>IF(Tabla1[[#This Row],[Repite compra?]]=1,"REPITE","NO REPITE")</f>
        <v>NO REPITE</v>
      </c>
      <c r="P494" t="str">
        <f>IF(Tabla1[[#This Row],[rating_segun encuesta a Consumidor]]&lt;5,"Regular",IF(Tabla1[[#This Row],[rating_segun encuesta a Consumidor]]&gt;8,"Excelente","Bueno"))</f>
        <v>Excelente</v>
      </c>
    </row>
    <row r="495" spans="1:16" x14ac:dyDescent="0.35">
      <c r="A495" s="1">
        <v>43835</v>
      </c>
      <c r="B495">
        <v>4296</v>
      </c>
      <c r="C495" t="s">
        <v>47</v>
      </c>
      <c r="D495">
        <v>221</v>
      </c>
      <c r="E495">
        <v>216.6</v>
      </c>
      <c r="F495">
        <v>1</v>
      </c>
      <c r="G495" t="s">
        <v>27</v>
      </c>
      <c r="H495" t="s">
        <v>22</v>
      </c>
      <c r="I495" t="s">
        <v>45</v>
      </c>
      <c r="J495" t="s">
        <v>49</v>
      </c>
      <c r="K495">
        <v>8</v>
      </c>
      <c r="L495">
        <v>1</v>
      </c>
      <c r="M495" s="2">
        <f t="shared" si="7"/>
        <v>47868.6</v>
      </c>
      <c r="N495" s="2" t="str">
        <f>IF(Tabla1[[#This Row],[Aprobación_Veterinaria]]=1,"APROBADO","NO APROBADO")</f>
        <v>APROBADO</v>
      </c>
      <c r="O495" t="str">
        <f>IF(Tabla1[[#This Row],[Repite compra?]]=1,"REPITE","NO REPITE")</f>
        <v>REPITE</v>
      </c>
      <c r="P495" t="str">
        <f>IF(Tabla1[[#This Row],[rating_segun encuesta a Consumidor]]&lt;5,"Regular",IF(Tabla1[[#This Row],[rating_segun encuesta a Consumidor]]&gt;8,"Excelente","Bueno"))</f>
        <v>Bueno</v>
      </c>
    </row>
    <row r="496" spans="1:16" x14ac:dyDescent="0.35">
      <c r="A496" s="1">
        <v>44011</v>
      </c>
      <c r="B496">
        <v>4940</v>
      </c>
      <c r="C496" t="s">
        <v>20</v>
      </c>
      <c r="D496">
        <v>219</v>
      </c>
      <c r="E496">
        <v>156.672</v>
      </c>
      <c r="F496">
        <v>0</v>
      </c>
      <c r="G496" t="s">
        <v>31</v>
      </c>
      <c r="H496" t="s">
        <v>44</v>
      </c>
      <c r="I496" t="s">
        <v>18</v>
      </c>
      <c r="J496" t="s">
        <v>29</v>
      </c>
      <c r="K496">
        <v>6</v>
      </c>
      <c r="L496">
        <v>0</v>
      </c>
      <c r="M496" s="2">
        <f t="shared" si="7"/>
        <v>34311.167999999998</v>
      </c>
      <c r="N496" s="2" t="str">
        <f>IF(Tabla1[[#This Row],[Aprobación_Veterinaria]]=1,"APROBADO","NO APROBADO")</f>
        <v>NO APROBADO</v>
      </c>
      <c r="O496" t="str">
        <f>IF(Tabla1[[#This Row],[Repite compra?]]=1,"REPITE","NO REPITE")</f>
        <v>NO REPITE</v>
      </c>
      <c r="P496" t="str">
        <f>IF(Tabla1[[#This Row],[rating_segun encuesta a Consumidor]]&lt;5,"Regular",IF(Tabla1[[#This Row],[rating_segun encuesta a Consumidor]]&gt;8,"Excelente","Bueno"))</f>
        <v>Bueno</v>
      </c>
    </row>
    <row r="497" spans="1:16" x14ac:dyDescent="0.35">
      <c r="A497" s="1">
        <v>43923</v>
      </c>
      <c r="B497">
        <v>4828</v>
      </c>
      <c r="C497" t="s">
        <v>26</v>
      </c>
      <c r="D497">
        <v>34</v>
      </c>
      <c r="E497">
        <v>17.748000000000001</v>
      </c>
      <c r="F497">
        <v>1</v>
      </c>
      <c r="G497" t="s">
        <v>33</v>
      </c>
      <c r="H497" t="s">
        <v>50</v>
      </c>
      <c r="I497" t="s">
        <v>18</v>
      </c>
      <c r="J497" t="s">
        <v>29</v>
      </c>
      <c r="K497">
        <v>2</v>
      </c>
      <c r="L497">
        <v>1</v>
      </c>
      <c r="M497" s="2">
        <f t="shared" si="7"/>
        <v>603.43200000000002</v>
      </c>
      <c r="N497" s="2" t="str">
        <f>IF(Tabla1[[#This Row],[Aprobación_Veterinaria]]=1,"APROBADO","NO APROBADO")</f>
        <v>APROBADO</v>
      </c>
      <c r="O497" t="str">
        <f>IF(Tabla1[[#This Row],[Repite compra?]]=1,"REPITE","NO REPITE")</f>
        <v>REPITE</v>
      </c>
      <c r="P497" t="str">
        <f>IF(Tabla1[[#This Row],[rating_segun encuesta a Consumidor]]&lt;5,"Regular",IF(Tabla1[[#This Row],[rating_segun encuesta a Consumidor]]&gt;8,"Excelente","Bueno"))</f>
        <v>Regular</v>
      </c>
    </row>
    <row r="498" spans="1:16" x14ac:dyDescent="0.35">
      <c r="A498" s="1">
        <v>44160</v>
      </c>
      <c r="B498">
        <v>4887</v>
      </c>
      <c r="C498" t="s">
        <v>15</v>
      </c>
      <c r="D498">
        <v>80</v>
      </c>
      <c r="E498">
        <v>190.08</v>
      </c>
      <c r="F498">
        <v>1</v>
      </c>
      <c r="G498" t="s">
        <v>34</v>
      </c>
      <c r="H498" t="s">
        <v>38</v>
      </c>
      <c r="I498" t="s">
        <v>41</v>
      </c>
      <c r="J498" t="s">
        <v>23</v>
      </c>
      <c r="K498">
        <v>6</v>
      </c>
      <c r="L498">
        <v>0</v>
      </c>
      <c r="M498" s="2">
        <f t="shared" si="7"/>
        <v>15206.400000000001</v>
      </c>
      <c r="N498" s="2" t="str">
        <f>IF(Tabla1[[#This Row],[Aprobación_Veterinaria]]=1,"APROBADO","NO APROBADO")</f>
        <v>APROBADO</v>
      </c>
      <c r="O498" t="str">
        <f>IF(Tabla1[[#This Row],[Repite compra?]]=1,"REPITE","NO REPITE")</f>
        <v>NO REPITE</v>
      </c>
      <c r="P498" t="str">
        <f>IF(Tabla1[[#This Row],[rating_segun encuesta a Consumidor]]&lt;5,"Regular",IF(Tabla1[[#This Row],[rating_segun encuesta a Consumidor]]&gt;8,"Excelente","Bueno"))</f>
        <v>Bueno</v>
      </c>
    </row>
    <row r="499" spans="1:16" x14ac:dyDescent="0.35">
      <c r="A499" s="1">
        <v>43891</v>
      </c>
      <c r="B499">
        <v>4400</v>
      </c>
      <c r="C499" t="s">
        <v>32</v>
      </c>
      <c r="D499">
        <v>129</v>
      </c>
      <c r="E499">
        <v>52.14</v>
      </c>
      <c r="F499">
        <v>1</v>
      </c>
      <c r="G499" t="s">
        <v>36</v>
      </c>
      <c r="H499" t="s">
        <v>22</v>
      </c>
      <c r="I499" t="s">
        <v>35</v>
      </c>
      <c r="J499" t="s">
        <v>29</v>
      </c>
      <c r="K499">
        <v>8</v>
      </c>
      <c r="L499">
        <v>1</v>
      </c>
      <c r="M499" s="2">
        <f t="shared" si="7"/>
        <v>6726.06</v>
      </c>
      <c r="N499" s="2" t="str">
        <f>IF(Tabla1[[#This Row],[Aprobación_Veterinaria]]=1,"APROBADO","NO APROBADO")</f>
        <v>APROBADO</v>
      </c>
      <c r="O499" t="str">
        <f>IF(Tabla1[[#This Row],[Repite compra?]]=1,"REPITE","NO REPITE")</f>
        <v>REPITE</v>
      </c>
      <c r="P499" t="str">
        <f>IF(Tabla1[[#This Row],[rating_segun encuesta a Consumidor]]&lt;5,"Regular",IF(Tabla1[[#This Row],[rating_segun encuesta a Consumidor]]&gt;8,"Excelente","Bueno"))</f>
        <v>Bueno</v>
      </c>
    </row>
    <row r="500" spans="1:16" x14ac:dyDescent="0.35">
      <c r="A500" s="1">
        <v>44024</v>
      </c>
      <c r="B500">
        <v>4494</v>
      </c>
      <c r="C500" t="s">
        <v>47</v>
      </c>
      <c r="D500">
        <v>169</v>
      </c>
      <c r="E500">
        <v>189.864</v>
      </c>
      <c r="F500">
        <v>1</v>
      </c>
      <c r="G500" t="s">
        <v>37</v>
      </c>
      <c r="H500" t="s">
        <v>22</v>
      </c>
      <c r="I500" t="s">
        <v>28</v>
      </c>
      <c r="J500" t="s">
        <v>29</v>
      </c>
      <c r="K500">
        <v>7</v>
      </c>
      <c r="L500">
        <v>1</v>
      </c>
      <c r="M500" s="2">
        <f t="shared" si="7"/>
        <v>32087.016</v>
      </c>
      <c r="N500" s="2" t="str">
        <f>IF(Tabla1[[#This Row],[Aprobación_Veterinaria]]=1,"APROBADO","NO APROBADO")</f>
        <v>APROBADO</v>
      </c>
      <c r="O500" t="str">
        <f>IF(Tabla1[[#This Row],[Repite compra?]]=1,"REPITE","NO REPITE")</f>
        <v>REPITE</v>
      </c>
      <c r="P500" t="str">
        <f>IF(Tabla1[[#This Row],[rating_segun encuesta a Consumidor]]&lt;5,"Regular",IF(Tabla1[[#This Row],[rating_segun encuesta a Consumidor]]&gt;8,"Excelente","Bueno"))</f>
        <v>Bueno</v>
      </c>
    </row>
    <row r="501" spans="1:16" x14ac:dyDescent="0.35">
      <c r="A501" s="1">
        <v>44003</v>
      </c>
      <c r="B501">
        <v>4204</v>
      </c>
      <c r="C501" t="s">
        <v>20</v>
      </c>
      <c r="D501">
        <v>182</v>
      </c>
      <c r="E501">
        <v>146.50800000000001</v>
      </c>
      <c r="F501">
        <v>1</v>
      </c>
      <c r="G501" t="s">
        <v>40</v>
      </c>
      <c r="H501" t="s">
        <v>22</v>
      </c>
      <c r="I501" t="s">
        <v>28</v>
      </c>
      <c r="J501" t="s">
        <v>53</v>
      </c>
      <c r="K501">
        <v>4</v>
      </c>
      <c r="L501">
        <v>1</v>
      </c>
      <c r="M501" s="2">
        <f t="shared" si="7"/>
        <v>26664.456000000002</v>
      </c>
      <c r="N501" s="2" t="str">
        <f>IF(Tabla1[[#This Row],[Aprobación_Veterinaria]]=1,"APROBADO","NO APROBADO")</f>
        <v>APROBADO</v>
      </c>
      <c r="O501" t="str">
        <f>IF(Tabla1[[#This Row],[Repite compra?]]=1,"REPITE","NO REPITE")</f>
        <v>REPITE</v>
      </c>
      <c r="P501" t="str">
        <f>IF(Tabla1[[#This Row],[rating_segun encuesta a Consumidor]]&lt;5,"Regular",IF(Tabla1[[#This Row],[rating_segun encuesta a Consumidor]]&gt;8,"Excelente","Bueno"))</f>
        <v>Regular</v>
      </c>
    </row>
    <row r="502" spans="1:16" x14ac:dyDescent="0.35">
      <c r="A502" s="1">
        <v>43882</v>
      </c>
      <c r="B502">
        <v>4283</v>
      </c>
      <c r="C502" t="s">
        <v>30</v>
      </c>
      <c r="D502">
        <v>14</v>
      </c>
      <c r="E502">
        <v>192.804</v>
      </c>
      <c r="F502">
        <v>0</v>
      </c>
      <c r="G502" t="s">
        <v>16</v>
      </c>
      <c r="H502" t="s">
        <v>22</v>
      </c>
      <c r="I502" t="s">
        <v>41</v>
      </c>
      <c r="J502" t="s">
        <v>19</v>
      </c>
      <c r="K502">
        <v>9</v>
      </c>
      <c r="L502">
        <v>0</v>
      </c>
      <c r="M502" s="2">
        <f t="shared" si="7"/>
        <v>2699.2559999999999</v>
      </c>
      <c r="N502" s="2" t="str">
        <f>IF(Tabla1[[#This Row],[Aprobación_Veterinaria]]=1,"APROBADO","NO APROBADO")</f>
        <v>NO APROBADO</v>
      </c>
      <c r="O502" t="str">
        <f>IF(Tabla1[[#This Row],[Repite compra?]]=1,"REPITE","NO REPITE")</f>
        <v>NO REPITE</v>
      </c>
      <c r="P502" t="str">
        <f>IF(Tabla1[[#This Row],[rating_segun encuesta a Consumidor]]&lt;5,"Regular",IF(Tabla1[[#This Row],[rating_segun encuesta a Consumidor]]&gt;8,"Excelente","Bueno"))</f>
        <v>Excelente</v>
      </c>
    </row>
    <row r="503" spans="1:16" x14ac:dyDescent="0.35">
      <c r="A503" s="1">
        <v>44151</v>
      </c>
      <c r="B503">
        <v>4387</v>
      </c>
      <c r="C503" t="s">
        <v>15</v>
      </c>
      <c r="D503">
        <v>122</v>
      </c>
      <c r="E503">
        <v>108.18</v>
      </c>
      <c r="F503">
        <v>0</v>
      </c>
      <c r="G503" t="s">
        <v>21</v>
      </c>
      <c r="H503" t="s">
        <v>22</v>
      </c>
      <c r="I503" t="s">
        <v>18</v>
      </c>
      <c r="J503" t="s">
        <v>23</v>
      </c>
      <c r="K503">
        <v>9</v>
      </c>
      <c r="L503">
        <v>1</v>
      </c>
      <c r="M503" s="2">
        <f t="shared" si="7"/>
        <v>13197.960000000001</v>
      </c>
      <c r="N503" s="2" t="str">
        <f>IF(Tabla1[[#This Row],[Aprobación_Veterinaria]]=1,"APROBADO","NO APROBADO")</f>
        <v>NO APROBADO</v>
      </c>
      <c r="O503" t="str">
        <f>IF(Tabla1[[#This Row],[Repite compra?]]=1,"REPITE","NO REPITE")</f>
        <v>REPITE</v>
      </c>
      <c r="P503" t="str">
        <f>IF(Tabla1[[#This Row],[rating_segun encuesta a Consumidor]]&lt;5,"Regular",IF(Tabla1[[#This Row],[rating_segun encuesta a Consumidor]]&gt;8,"Excelente","Bueno"))</f>
        <v>Excelente</v>
      </c>
    </row>
    <row r="504" spans="1:16" x14ac:dyDescent="0.35">
      <c r="A504" s="1">
        <v>43944</v>
      </c>
      <c r="B504">
        <v>4486</v>
      </c>
      <c r="C504" t="s">
        <v>15</v>
      </c>
      <c r="D504">
        <v>195</v>
      </c>
      <c r="E504">
        <v>164.196</v>
      </c>
      <c r="F504">
        <v>1</v>
      </c>
      <c r="G504" t="s">
        <v>24</v>
      </c>
      <c r="H504" t="s">
        <v>22</v>
      </c>
      <c r="I504" t="s">
        <v>45</v>
      </c>
      <c r="J504" t="s">
        <v>29</v>
      </c>
      <c r="K504">
        <v>8</v>
      </c>
      <c r="L504">
        <v>0</v>
      </c>
      <c r="M504" s="2">
        <f t="shared" si="7"/>
        <v>32018.22</v>
      </c>
      <c r="N504" s="2" t="str">
        <f>IF(Tabla1[[#This Row],[Aprobación_Veterinaria]]=1,"APROBADO","NO APROBADO")</f>
        <v>APROBADO</v>
      </c>
      <c r="O504" t="str">
        <f>IF(Tabla1[[#This Row],[Repite compra?]]=1,"REPITE","NO REPITE")</f>
        <v>NO REPITE</v>
      </c>
      <c r="P504" t="str">
        <f>IF(Tabla1[[#This Row],[rating_segun encuesta a Consumidor]]&lt;5,"Regular",IF(Tabla1[[#This Row],[rating_segun encuesta a Consumidor]]&gt;8,"Excelente","Bueno"))</f>
        <v>Bueno</v>
      </c>
    </row>
    <row r="505" spans="1:16" x14ac:dyDescent="0.35">
      <c r="A505" s="1">
        <v>44142</v>
      </c>
      <c r="B505">
        <v>4600</v>
      </c>
      <c r="C505" t="s">
        <v>20</v>
      </c>
      <c r="D505">
        <v>17</v>
      </c>
      <c r="E505">
        <v>160.02000000000001</v>
      </c>
      <c r="F505">
        <v>0</v>
      </c>
      <c r="G505" t="s">
        <v>27</v>
      </c>
      <c r="H505" t="s">
        <v>22</v>
      </c>
      <c r="I505" t="s">
        <v>35</v>
      </c>
      <c r="J505" t="s">
        <v>29</v>
      </c>
      <c r="K505">
        <v>10</v>
      </c>
      <c r="L505">
        <v>0</v>
      </c>
      <c r="M505" s="2">
        <f t="shared" si="7"/>
        <v>2720.34</v>
      </c>
      <c r="N505" s="2" t="str">
        <f>IF(Tabla1[[#This Row],[Aprobación_Veterinaria]]=1,"APROBADO","NO APROBADO")</f>
        <v>NO APROBADO</v>
      </c>
      <c r="O505" t="str">
        <f>IF(Tabla1[[#This Row],[Repite compra?]]=1,"REPITE","NO REPITE")</f>
        <v>NO REPITE</v>
      </c>
      <c r="P505" t="str">
        <f>IF(Tabla1[[#This Row],[rating_segun encuesta a Consumidor]]&lt;5,"Regular",IF(Tabla1[[#This Row],[rating_segun encuesta a Consumidor]]&gt;8,"Excelente","Bueno"))</f>
        <v>Excelente</v>
      </c>
    </row>
    <row r="506" spans="1:16" x14ac:dyDescent="0.35">
      <c r="A506" s="1">
        <v>43987</v>
      </c>
      <c r="B506">
        <v>4873</v>
      </c>
      <c r="C506" t="s">
        <v>26</v>
      </c>
      <c r="D506">
        <v>224</v>
      </c>
      <c r="E506">
        <v>204.46800000000002</v>
      </c>
      <c r="F506">
        <v>0</v>
      </c>
      <c r="G506" t="s">
        <v>31</v>
      </c>
      <c r="H506" t="s">
        <v>50</v>
      </c>
      <c r="I506" t="s">
        <v>41</v>
      </c>
      <c r="J506" t="s">
        <v>23</v>
      </c>
      <c r="K506">
        <v>6</v>
      </c>
      <c r="L506">
        <v>0</v>
      </c>
      <c r="M506" s="2">
        <f t="shared" si="7"/>
        <v>45800.832000000002</v>
      </c>
      <c r="N506" s="2" t="str">
        <f>IF(Tabla1[[#This Row],[Aprobación_Veterinaria]]=1,"APROBADO","NO APROBADO")</f>
        <v>NO APROBADO</v>
      </c>
      <c r="O506" t="str">
        <f>IF(Tabla1[[#This Row],[Repite compra?]]=1,"REPITE","NO REPITE")</f>
        <v>NO REPITE</v>
      </c>
      <c r="P506" t="str">
        <f>IF(Tabla1[[#This Row],[rating_segun encuesta a Consumidor]]&lt;5,"Regular",IF(Tabla1[[#This Row],[rating_segun encuesta a Consumidor]]&gt;8,"Excelente","Bueno"))</f>
        <v>Bueno</v>
      </c>
    </row>
    <row r="507" spans="1:16" x14ac:dyDescent="0.35">
      <c r="A507" s="1">
        <v>43996</v>
      </c>
      <c r="B507">
        <v>4965</v>
      </c>
      <c r="C507" t="s">
        <v>15</v>
      </c>
      <c r="D507">
        <v>10</v>
      </c>
      <c r="E507">
        <v>96.216000000000008</v>
      </c>
      <c r="F507">
        <v>0</v>
      </c>
      <c r="G507" t="s">
        <v>33</v>
      </c>
      <c r="H507" t="s">
        <v>44</v>
      </c>
      <c r="I507" t="s">
        <v>41</v>
      </c>
      <c r="J507" t="s">
        <v>49</v>
      </c>
      <c r="K507">
        <v>6</v>
      </c>
      <c r="L507">
        <v>0</v>
      </c>
      <c r="M507" s="2">
        <f t="shared" si="7"/>
        <v>962.16000000000008</v>
      </c>
      <c r="N507" s="2" t="str">
        <f>IF(Tabla1[[#This Row],[Aprobación_Veterinaria]]=1,"APROBADO","NO APROBADO")</f>
        <v>NO APROBADO</v>
      </c>
      <c r="O507" t="str">
        <f>IF(Tabla1[[#This Row],[Repite compra?]]=1,"REPITE","NO REPITE")</f>
        <v>NO REPITE</v>
      </c>
      <c r="P507" t="str">
        <f>IF(Tabla1[[#This Row],[rating_segun encuesta a Consumidor]]&lt;5,"Regular",IF(Tabla1[[#This Row],[rating_segun encuesta a Consumidor]]&gt;8,"Excelente","Bueno"))</f>
        <v>Bueno</v>
      </c>
    </row>
    <row r="508" spans="1:16" x14ac:dyDescent="0.35">
      <c r="A508" s="1">
        <v>43894</v>
      </c>
      <c r="B508">
        <v>4712</v>
      </c>
      <c r="C508" t="s">
        <v>30</v>
      </c>
      <c r="D508">
        <v>157</v>
      </c>
      <c r="E508">
        <v>199.68</v>
      </c>
      <c r="F508">
        <v>0</v>
      </c>
      <c r="G508" t="s">
        <v>34</v>
      </c>
      <c r="H508" t="s">
        <v>38</v>
      </c>
      <c r="I508" t="s">
        <v>18</v>
      </c>
      <c r="J508" t="s">
        <v>29</v>
      </c>
      <c r="K508">
        <v>10</v>
      </c>
      <c r="L508">
        <v>0</v>
      </c>
      <c r="M508" s="2">
        <f t="shared" si="7"/>
        <v>31349.760000000002</v>
      </c>
      <c r="N508" s="2" t="str">
        <f>IF(Tabla1[[#This Row],[Aprobación_Veterinaria]]=1,"APROBADO","NO APROBADO")</f>
        <v>NO APROBADO</v>
      </c>
      <c r="O508" t="str">
        <f>IF(Tabla1[[#This Row],[Repite compra?]]=1,"REPITE","NO REPITE")</f>
        <v>NO REPITE</v>
      </c>
      <c r="P508" t="str">
        <f>IF(Tabla1[[#This Row],[rating_segun encuesta a Consumidor]]&lt;5,"Regular",IF(Tabla1[[#This Row],[rating_segun encuesta a Consumidor]]&gt;8,"Excelente","Bueno"))</f>
        <v>Excelente</v>
      </c>
    </row>
    <row r="509" spans="1:16" x14ac:dyDescent="0.35">
      <c r="A509" s="1">
        <v>43938</v>
      </c>
      <c r="B509">
        <v>4983</v>
      </c>
      <c r="C509" t="s">
        <v>15</v>
      </c>
      <c r="D509">
        <v>180</v>
      </c>
      <c r="E509">
        <v>101.47200000000001</v>
      </c>
      <c r="F509">
        <v>1</v>
      </c>
      <c r="G509" t="s">
        <v>36</v>
      </c>
      <c r="H509" t="s">
        <v>50</v>
      </c>
      <c r="I509" t="s">
        <v>41</v>
      </c>
      <c r="J509" t="s">
        <v>49</v>
      </c>
      <c r="K509">
        <v>6</v>
      </c>
      <c r="L509">
        <v>0</v>
      </c>
      <c r="M509" s="2">
        <f t="shared" si="7"/>
        <v>18264.960000000003</v>
      </c>
      <c r="N509" s="2" t="str">
        <f>IF(Tabla1[[#This Row],[Aprobación_Veterinaria]]=1,"APROBADO","NO APROBADO")</f>
        <v>APROBADO</v>
      </c>
      <c r="O509" t="str">
        <f>IF(Tabla1[[#This Row],[Repite compra?]]=1,"REPITE","NO REPITE")</f>
        <v>NO REPITE</v>
      </c>
      <c r="P509" t="str">
        <f>IF(Tabla1[[#This Row],[rating_segun encuesta a Consumidor]]&lt;5,"Regular",IF(Tabla1[[#This Row],[rating_segun encuesta a Consumidor]]&gt;8,"Excelente","Bueno"))</f>
        <v>Bueno</v>
      </c>
    </row>
    <row r="510" spans="1:16" x14ac:dyDescent="0.35">
      <c r="A510" s="1">
        <v>43832</v>
      </c>
      <c r="B510">
        <v>4199</v>
      </c>
      <c r="C510" t="s">
        <v>26</v>
      </c>
      <c r="D510">
        <v>31</v>
      </c>
      <c r="E510">
        <v>56.603999999999999</v>
      </c>
      <c r="F510">
        <v>0</v>
      </c>
      <c r="G510" t="s">
        <v>37</v>
      </c>
      <c r="H510" t="s">
        <v>22</v>
      </c>
      <c r="I510" t="s">
        <v>28</v>
      </c>
      <c r="J510" t="s">
        <v>19</v>
      </c>
      <c r="K510">
        <v>9</v>
      </c>
      <c r="L510">
        <v>1</v>
      </c>
      <c r="M510" s="2">
        <f t="shared" si="7"/>
        <v>1754.7239999999999</v>
      </c>
      <c r="N510" s="2" t="str">
        <f>IF(Tabla1[[#This Row],[Aprobación_Veterinaria]]=1,"APROBADO","NO APROBADO")</f>
        <v>NO APROBADO</v>
      </c>
      <c r="O510" t="str">
        <f>IF(Tabla1[[#This Row],[Repite compra?]]=1,"REPITE","NO REPITE")</f>
        <v>REPITE</v>
      </c>
      <c r="P510" t="str">
        <f>IF(Tabla1[[#This Row],[rating_segun encuesta a Consumidor]]&lt;5,"Regular",IF(Tabla1[[#This Row],[rating_segun encuesta a Consumidor]]&gt;8,"Excelente","Bueno"))</f>
        <v>Excelente</v>
      </c>
    </row>
    <row r="511" spans="1:16" x14ac:dyDescent="0.35">
      <c r="A511" s="1">
        <v>44072</v>
      </c>
      <c r="B511">
        <v>4218</v>
      </c>
      <c r="C511" t="s">
        <v>51</v>
      </c>
      <c r="D511">
        <v>152</v>
      </c>
      <c r="E511">
        <v>13.812000000000001</v>
      </c>
      <c r="F511">
        <v>0</v>
      </c>
      <c r="G511" t="s">
        <v>40</v>
      </c>
      <c r="H511" t="s">
        <v>22</v>
      </c>
      <c r="I511" t="s">
        <v>41</v>
      </c>
      <c r="J511" t="s">
        <v>49</v>
      </c>
      <c r="K511">
        <v>3</v>
      </c>
      <c r="L511">
        <v>0</v>
      </c>
      <c r="M511" s="2">
        <f t="shared" si="7"/>
        <v>2099.424</v>
      </c>
      <c r="N511" s="2" t="str">
        <f>IF(Tabla1[[#This Row],[Aprobación_Veterinaria]]=1,"APROBADO","NO APROBADO")</f>
        <v>NO APROBADO</v>
      </c>
      <c r="O511" t="str">
        <f>IF(Tabla1[[#This Row],[Repite compra?]]=1,"REPITE","NO REPITE")</f>
        <v>NO REPITE</v>
      </c>
      <c r="P511" t="str">
        <f>IF(Tabla1[[#This Row],[rating_segun encuesta a Consumidor]]&lt;5,"Regular",IF(Tabla1[[#This Row],[rating_segun encuesta a Consumidor]]&gt;8,"Excelente","Bueno"))</f>
        <v>Regular</v>
      </c>
    </row>
    <row r="512" spans="1:16" x14ac:dyDescent="0.35">
      <c r="A512" s="1">
        <v>44161</v>
      </c>
      <c r="B512">
        <v>4632</v>
      </c>
      <c r="C512" t="s">
        <v>42</v>
      </c>
      <c r="D512">
        <v>9</v>
      </c>
      <c r="E512">
        <v>198.6</v>
      </c>
      <c r="F512">
        <v>0</v>
      </c>
      <c r="G512" t="s">
        <v>16</v>
      </c>
      <c r="H512" t="s">
        <v>22</v>
      </c>
      <c r="I512" t="s">
        <v>18</v>
      </c>
      <c r="J512" t="s">
        <v>29</v>
      </c>
      <c r="K512">
        <v>10</v>
      </c>
      <c r="L512">
        <v>0</v>
      </c>
      <c r="M512" s="2">
        <f t="shared" si="7"/>
        <v>1787.3999999999999</v>
      </c>
      <c r="N512" s="2" t="str">
        <f>IF(Tabla1[[#This Row],[Aprobación_Veterinaria]]=1,"APROBADO","NO APROBADO")</f>
        <v>NO APROBADO</v>
      </c>
      <c r="O512" t="str">
        <f>IF(Tabla1[[#This Row],[Repite compra?]]=1,"REPITE","NO REPITE")</f>
        <v>NO REPITE</v>
      </c>
      <c r="P512" t="str">
        <f>IF(Tabla1[[#This Row],[rating_segun encuesta a Consumidor]]&lt;5,"Regular",IF(Tabla1[[#This Row],[rating_segun encuesta a Consumidor]]&gt;8,"Excelente","Bueno"))</f>
        <v>Excelente</v>
      </c>
    </row>
    <row r="513" spans="1:16" x14ac:dyDescent="0.35">
      <c r="A513" s="1">
        <v>44062</v>
      </c>
      <c r="B513">
        <v>5007</v>
      </c>
      <c r="C513" t="s">
        <v>15</v>
      </c>
      <c r="D513">
        <v>77</v>
      </c>
      <c r="E513">
        <v>119.42400000000001</v>
      </c>
      <c r="F513">
        <v>0</v>
      </c>
      <c r="G513" t="s">
        <v>21</v>
      </c>
      <c r="H513" t="s">
        <v>38</v>
      </c>
      <c r="I513" t="s">
        <v>41</v>
      </c>
      <c r="J513" t="s">
        <v>49</v>
      </c>
      <c r="K513">
        <v>6</v>
      </c>
      <c r="L513">
        <v>0</v>
      </c>
      <c r="M513" s="2">
        <f t="shared" si="7"/>
        <v>9195.648000000001</v>
      </c>
      <c r="N513" s="2" t="str">
        <f>IF(Tabla1[[#This Row],[Aprobación_Veterinaria]]=1,"APROBADO","NO APROBADO")</f>
        <v>NO APROBADO</v>
      </c>
      <c r="O513" t="str">
        <f>IF(Tabla1[[#This Row],[Repite compra?]]=1,"REPITE","NO REPITE")</f>
        <v>NO REPITE</v>
      </c>
      <c r="P513" t="str">
        <f>IF(Tabla1[[#This Row],[rating_segun encuesta a Consumidor]]&lt;5,"Regular",IF(Tabla1[[#This Row],[rating_segun encuesta a Consumidor]]&gt;8,"Excelente","Bueno"))</f>
        <v>Bueno</v>
      </c>
    </row>
    <row r="514" spans="1:16" x14ac:dyDescent="0.35">
      <c r="A514" s="1">
        <v>44136</v>
      </c>
      <c r="B514">
        <v>4414</v>
      </c>
      <c r="C514" t="s">
        <v>39</v>
      </c>
      <c r="D514">
        <v>206</v>
      </c>
      <c r="E514">
        <v>48.756</v>
      </c>
      <c r="F514">
        <v>1</v>
      </c>
      <c r="G514" t="s">
        <v>24</v>
      </c>
      <c r="H514" t="s">
        <v>22</v>
      </c>
      <c r="I514" t="s">
        <v>28</v>
      </c>
      <c r="J514" t="s">
        <v>29</v>
      </c>
      <c r="K514">
        <v>3</v>
      </c>
      <c r="L514">
        <v>0</v>
      </c>
      <c r="M514" s="2">
        <f t="shared" ref="M514:M577" si="8">D514*E514</f>
        <v>10043.736000000001</v>
      </c>
      <c r="N514" s="2" t="str">
        <f>IF(Tabla1[[#This Row],[Aprobación_Veterinaria]]=1,"APROBADO","NO APROBADO")</f>
        <v>APROBADO</v>
      </c>
      <c r="O514" t="str">
        <f>IF(Tabla1[[#This Row],[Repite compra?]]=1,"REPITE","NO REPITE")</f>
        <v>NO REPITE</v>
      </c>
      <c r="P514" t="str">
        <f>IF(Tabla1[[#This Row],[rating_segun encuesta a Consumidor]]&lt;5,"Regular",IF(Tabla1[[#This Row],[rating_segun encuesta a Consumidor]]&gt;8,"Excelente","Bueno"))</f>
        <v>Regular</v>
      </c>
    </row>
    <row r="515" spans="1:16" x14ac:dyDescent="0.35">
      <c r="A515" s="1">
        <v>44098</v>
      </c>
      <c r="B515">
        <v>4836</v>
      </c>
      <c r="C515" t="s">
        <v>15</v>
      </c>
      <c r="D515">
        <v>217</v>
      </c>
      <c r="E515">
        <v>224.172</v>
      </c>
      <c r="F515">
        <v>1</v>
      </c>
      <c r="G515" t="s">
        <v>27</v>
      </c>
      <c r="H515" t="s">
        <v>48</v>
      </c>
      <c r="I515" t="s">
        <v>18</v>
      </c>
      <c r="J515" t="s">
        <v>29</v>
      </c>
      <c r="K515">
        <v>2</v>
      </c>
      <c r="L515">
        <v>1</v>
      </c>
      <c r="M515" s="2">
        <f t="shared" si="8"/>
        <v>48645.324000000001</v>
      </c>
      <c r="N515" s="2" t="str">
        <f>IF(Tabla1[[#This Row],[Aprobación_Veterinaria]]=1,"APROBADO","NO APROBADO")</f>
        <v>APROBADO</v>
      </c>
      <c r="O515" t="str">
        <f>IF(Tabla1[[#This Row],[Repite compra?]]=1,"REPITE","NO REPITE")</f>
        <v>REPITE</v>
      </c>
      <c r="P515" t="str">
        <f>IF(Tabla1[[#This Row],[rating_segun encuesta a Consumidor]]&lt;5,"Regular",IF(Tabla1[[#This Row],[rating_segun encuesta a Consumidor]]&gt;8,"Excelente","Bueno"))</f>
        <v>Regular</v>
      </c>
    </row>
    <row r="516" spans="1:16" x14ac:dyDescent="0.35">
      <c r="A516" s="1">
        <v>44097</v>
      </c>
      <c r="B516">
        <v>4872</v>
      </c>
      <c r="C516" t="s">
        <v>15</v>
      </c>
      <c r="D516">
        <v>83</v>
      </c>
      <c r="E516">
        <v>157.16400000000002</v>
      </c>
      <c r="F516">
        <v>1</v>
      </c>
      <c r="G516" t="s">
        <v>31</v>
      </c>
      <c r="H516" t="s">
        <v>38</v>
      </c>
      <c r="I516" t="s">
        <v>18</v>
      </c>
      <c r="J516" t="s">
        <v>29</v>
      </c>
      <c r="K516">
        <v>6</v>
      </c>
      <c r="L516">
        <v>0</v>
      </c>
      <c r="M516" s="2">
        <f t="shared" si="8"/>
        <v>13044.612000000001</v>
      </c>
      <c r="N516" s="2" t="str">
        <f>IF(Tabla1[[#This Row],[Aprobación_Veterinaria]]=1,"APROBADO","NO APROBADO")</f>
        <v>APROBADO</v>
      </c>
      <c r="O516" t="str">
        <f>IF(Tabla1[[#This Row],[Repite compra?]]=1,"REPITE","NO REPITE")</f>
        <v>NO REPITE</v>
      </c>
      <c r="P516" t="str">
        <f>IF(Tabla1[[#This Row],[rating_segun encuesta a Consumidor]]&lt;5,"Regular",IF(Tabla1[[#This Row],[rating_segun encuesta a Consumidor]]&gt;8,"Excelente","Bueno"))</f>
        <v>Bueno</v>
      </c>
    </row>
    <row r="517" spans="1:16" x14ac:dyDescent="0.35">
      <c r="A517" s="1">
        <v>44003</v>
      </c>
      <c r="B517">
        <v>4683</v>
      </c>
      <c r="C517" t="s">
        <v>43</v>
      </c>
      <c r="D517">
        <v>177</v>
      </c>
      <c r="E517">
        <v>201.672</v>
      </c>
      <c r="F517">
        <v>1</v>
      </c>
      <c r="G517" t="s">
        <v>33</v>
      </c>
      <c r="H517" t="s">
        <v>22</v>
      </c>
      <c r="I517" t="s">
        <v>41</v>
      </c>
      <c r="J517" t="s">
        <v>23</v>
      </c>
      <c r="K517">
        <v>10</v>
      </c>
      <c r="L517">
        <v>1</v>
      </c>
      <c r="M517" s="2">
        <f t="shared" si="8"/>
        <v>35695.943999999996</v>
      </c>
      <c r="N517" s="2" t="str">
        <f>IF(Tabla1[[#This Row],[Aprobación_Veterinaria]]=1,"APROBADO","NO APROBADO")</f>
        <v>APROBADO</v>
      </c>
      <c r="O517" t="str">
        <f>IF(Tabla1[[#This Row],[Repite compra?]]=1,"REPITE","NO REPITE")</f>
        <v>REPITE</v>
      </c>
      <c r="P517" t="str">
        <f>IF(Tabla1[[#This Row],[rating_segun encuesta a Consumidor]]&lt;5,"Regular",IF(Tabla1[[#This Row],[rating_segun encuesta a Consumidor]]&gt;8,"Excelente","Bueno"))</f>
        <v>Excelente</v>
      </c>
    </row>
    <row r="518" spans="1:16" x14ac:dyDescent="0.35">
      <c r="A518" s="1">
        <v>43883</v>
      </c>
      <c r="B518">
        <v>5012</v>
      </c>
      <c r="C518" t="s">
        <v>20</v>
      </c>
      <c r="D518">
        <v>150</v>
      </c>
      <c r="E518">
        <v>135.56399999999999</v>
      </c>
      <c r="F518">
        <v>1</v>
      </c>
      <c r="G518" t="s">
        <v>34</v>
      </c>
      <c r="H518" t="s">
        <v>38</v>
      </c>
      <c r="I518" t="s">
        <v>18</v>
      </c>
      <c r="J518" t="s">
        <v>19</v>
      </c>
      <c r="K518">
        <v>6</v>
      </c>
      <c r="L518">
        <v>0</v>
      </c>
      <c r="M518" s="2">
        <f t="shared" si="8"/>
        <v>20334.599999999999</v>
      </c>
      <c r="N518" s="2" t="str">
        <f>IF(Tabla1[[#This Row],[Aprobación_Veterinaria]]=1,"APROBADO","NO APROBADO")</f>
        <v>APROBADO</v>
      </c>
      <c r="O518" t="str">
        <f>IF(Tabla1[[#This Row],[Repite compra?]]=1,"REPITE","NO REPITE")</f>
        <v>NO REPITE</v>
      </c>
      <c r="P518" t="str">
        <f>IF(Tabla1[[#This Row],[rating_segun encuesta a Consumidor]]&lt;5,"Regular",IF(Tabla1[[#This Row],[rating_segun encuesta a Consumidor]]&gt;8,"Excelente","Bueno"))</f>
        <v>Bueno</v>
      </c>
    </row>
    <row r="519" spans="1:16" x14ac:dyDescent="0.35">
      <c r="A519" s="1">
        <v>43922</v>
      </c>
      <c r="B519">
        <v>4693</v>
      </c>
      <c r="C519" t="s">
        <v>39</v>
      </c>
      <c r="D519">
        <v>175</v>
      </c>
      <c r="E519">
        <v>222.696</v>
      </c>
      <c r="F519">
        <v>1</v>
      </c>
      <c r="G519" t="s">
        <v>36</v>
      </c>
      <c r="H519" t="s">
        <v>50</v>
      </c>
      <c r="I519" t="s">
        <v>41</v>
      </c>
      <c r="J519" t="s">
        <v>23</v>
      </c>
      <c r="K519">
        <v>10</v>
      </c>
      <c r="L519">
        <v>1</v>
      </c>
      <c r="M519" s="2">
        <f t="shared" si="8"/>
        <v>38971.800000000003</v>
      </c>
      <c r="N519" s="2" t="str">
        <f>IF(Tabla1[[#This Row],[Aprobación_Veterinaria]]=1,"APROBADO","NO APROBADO")</f>
        <v>APROBADO</v>
      </c>
      <c r="O519" t="str">
        <f>IF(Tabla1[[#This Row],[Repite compra?]]=1,"REPITE","NO REPITE")</f>
        <v>REPITE</v>
      </c>
      <c r="P519" t="str">
        <f>IF(Tabla1[[#This Row],[rating_segun encuesta a Consumidor]]&lt;5,"Regular",IF(Tabla1[[#This Row],[rating_segun encuesta a Consumidor]]&gt;8,"Excelente","Bueno"))</f>
        <v>Excelente</v>
      </c>
    </row>
    <row r="520" spans="1:16" x14ac:dyDescent="0.35">
      <c r="A520" s="1">
        <v>44058</v>
      </c>
      <c r="B520">
        <v>4660</v>
      </c>
      <c r="C520" t="s">
        <v>43</v>
      </c>
      <c r="D520">
        <v>18</v>
      </c>
      <c r="E520">
        <v>127.34400000000001</v>
      </c>
      <c r="F520">
        <v>0</v>
      </c>
      <c r="G520" t="s">
        <v>37</v>
      </c>
      <c r="H520" t="s">
        <v>22</v>
      </c>
      <c r="I520" t="s">
        <v>35</v>
      </c>
      <c r="J520" t="s">
        <v>29</v>
      </c>
      <c r="K520">
        <v>10</v>
      </c>
      <c r="L520">
        <v>1</v>
      </c>
      <c r="M520" s="2">
        <f t="shared" si="8"/>
        <v>2292.192</v>
      </c>
      <c r="N520" s="2" t="str">
        <f>IF(Tabla1[[#This Row],[Aprobación_Veterinaria]]=1,"APROBADO","NO APROBADO")</f>
        <v>NO APROBADO</v>
      </c>
      <c r="O520" t="str">
        <f>IF(Tabla1[[#This Row],[Repite compra?]]=1,"REPITE","NO REPITE")</f>
        <v>REPITE</v>
      </c>
      <c r="P520" t="str">
        <f>IF(Tabla1[[#This Row],[rating_segun encuesta a Consumidor]]&lt;5,"Regular",IF(Tabla1[[#This Row],[rating_segun encuesta a Consumidor]]&gt;8,"Excelente","Bueno"))</f>
        <v>Excelente</v>
      </c>
    </row>
    <row r="521" spans="1:16" x14ac:dyDescent="0.35">
      <c r="A521" s="1">
        <v>44064</v>
      </c>
      <c r="B521">
        <v>4668</v>
      </c>
      <c r="C521" t="s">
        <v>30</v>
      </c>
      <c r="D521">
        <v>214</v>
      </c>
      <c r="E521">
        <v>21.696000000000002</v>
      </c>
      <c r="F521">
        <v>0</v>
      </c>
      <c r="G521" t="s">
        <v>40</v>
      </c>
      <c r="H521" t="s">
        <v>22</v>
      </c>
      <c r="I521" t="s">
        <v>41</v>
      </c>
      <c r="J521" t="s">
        <v>29</v>
      </c>
      <c r="K521">
        <v>10</v>
      </c>
      <c r="L521">
        <v>0</v>
      </c>
      <c r="M521" s="2">
        <f t="shared" si="8"/>
        <v>4642.9440000000004</v>
      </c>
      <c r="N521" s="2" t="str">
        <f>IF(Tabla1[[#This Row],[Aprobación_Veterinaria]]=1,"APROBADO","NO APROBADO")</f>
        <v>NO APROBADO</v>
      </c>
      <c r="O521" t="str">
        <f>IF(Tabla1[[#This Row],[Repite compra?]]=1,"REPITE","NO REPITE")</f>
        <v>NO REPITE</v>
      </c>
      <c r="P521" t="str">
        <f>IF(Tabla1[[#This Row],[rating_segun encuesta a Consumidor]]&lt;5,"Regular",IF(Tabla1[[#This Row],[rating_segun encuesta a Consumidor]]&gt;8,"Excelente","Bueno"))</f>
        <v>Excelente</v>
      </c>
    </row>
    <row r="522" spans="1:16" x14ac:dyDescent="0.35">
      <c r="A522" s="1">
        <v>43952</v>
      </c>
      <c r="B522">
        <v>4203</v>
      </c>
      <c r="C522" t="s">
        <v>42</v>
      </c>
      <c r="D522">
        <v>194</v>
      </c>
      <c r="E522">
        <v>95.724000000000004</v>
      </c>
      <c r="F522">
        <v>1</v>
      </c>
      <c r="G522" t="s">
        <v>16</v>
      </c>
      <c r="H522" t="s">
        <v>22</v>
      </c>
      <c r="I522" t="s">
        <v>41</v>
      </c>
      <c r="J522" t="s">
        <v>23</v>
      </c>
      <c r="K522">
        <v>9</v>
      </c>
      <c r="L522">
        <v>1</v>
      </c>
      <c r="M522" s="2">
        <f t="shared" si="8"/>
        <v>18570.456000000002</v>
      </c>
      <c r="N522" s="2" t="str">
        <f>IF(Tabla1[[#This Row],[Aprobación_Veterinaria]]=1,"APROBADO","NO APROBADO")</f>
        <v>APROBADO</v>
      </c>
      <c r="O522" t="str">
        <f>IF(Tabla1[[#This Row],[Repite compra?]]=1,"REPITE","NO REPITE")</f>
        <v>REPITE</v>
      </c>
      <c r="P522" t="str">
        <f>IF(Tabla1[[#This Row],[rating_segun encuesta a Consumidor]]&lt;5,"Regular",IF(Tabla1[[#This Row],[rating_segun encuesta a Consumidor]]&gt;8,"Excelente","Bueno"))</f>
        <v>Excelente</v>
      </c>
    </row>
    <row r="523" spans="1:16" x14ac:dyDescent="0.35">
      <c r="A523" s="1">
        <v>43961</v>
      </c>
      <c r="B523">
        <v>4504</v>
      </c>
      <c r="C523" t="s">
        <v>51</v>
      </c>
      <c r="D523">
        <v>96</v>
      </c>
      <c r="E523">
        <v>72.72</v>
      </c>
      <c r="F523">
        <v>1</v>
      </c>
      <c r="G523" t="s">
        <v>21</v>
      </c>
      <c r="H523" t="s">
        <v>22</v>
      </c>
      <c r="I523" t="s">
        <v>28</v>
      </c>
      <c r="J523" t="s">
        <v>29</v>
      </c>
      <c r="K523">
        <v>6</v>
      </c>
      <c r="L523">
        <v>0</v>
      </c>
      <c r="M523" s="2">
        <f t="shared" si="8"/>
        <v>6981.12</v>
      </c>
      <c r="N523" s="2" t="str">
        <f>IF(Tabla1[[#This Row],[Aprobación_Veterinaria]]=1,"APROBADO","NO APROBADO")</f>
        <v>APROBADO</v>
      </c>
      <c r="O523" t="str">
        <f>IF(Tabla1[[#This Row],[Repite compra?]]=1,"REPITE","NO REPITE")</f>
        <v>NO REPITE</v>
      </c>
      <c r="P523" t="str">
        <f>IF(Tabla1[[#This Row],[rating_segun encuesta a Consumidor]]&lt;5,"Regular",IF(Tabla1[[#This Row],[rating_segun encuesta a Consumidor]]&gt;8,"Excelente","Bueno"))</f>
        <v>Bueno</v>
      </c>
    </row>
    <row r="524" spans="1:16" x14ac:dyDescent="0.35">
      <c r="A524" s="1">
        <v>43964</v>
      </c>
      <c r="B524">
        <v>4970</v>
      </c>
      <c r="C524" t="s">
        <v>20</v>
      </c>
      <c r="D524">
        <v>175</v>
      </c>
      <c r="E524">
        <v>13.56</v>
      </c>
      <c r="F524">
        <v>0</v>
      </c>
      <c r="G524" t="s">
        <v>24</v>
      </c>
      <c r="H524" t="s">
        <v>44</v>
      </c>
      <c r="I524" t="s">
        <v>18</v>
      </c>
      <c r="J524" t="s">
        <v>19</v>
      </c>
      <c r="K524">
        <v>6</v>
      </c>
      <c r="L524">
        <v>0</v>
      </c>
      <c r="M524" s="2">
        <f t="shared" si="8"/>
        <v>2373</v>
      </c>
      <c r="N524" s="2" t="str">
        <f>IF(Tabla1[[#This Row],[Aprobación_Veterinaria]]=1,"APROBADO","NO APROBADO")</f>
        <v>NO APROBADO</v>
      </c>
      <c r="O524" t="str">
        <f>IF(Tabla1[[#This Row],[Repite compra?]]=1,"REPITE","NO REPITE")</f>
        <v>NO REPITE</v>
      </c>
      <c r="P524" t="str">
        <f>IF(Tabla1[[#This Row],[rating_segun encuesta a Consumidor]]&lt;5,"Regular",IF(Tabla1[[#This Row],[rating_segun encuesta a Consumidor]]&gt;8,"Excelente","Bueno"))</f>
        <v>Bueno</v>
      </c>
    </row>
    <row r="525" spans="1:16" x14ac:dyDescent="0.35">
      <c r="A525" s="1">
        <v>44018</v>
      </c>
      <c r="B525">
        <v>4539</v>
      </c>
      <c r="C525" t="s">
        <v>43</v>
      </c>
      <c r="D525">
        <v>12</v>
      </c>
      <c r="E525">
        <v>89.724000000000004</v>
      </c>
      <c r="F525">
        <v>0</v>
      </c>
      <c r="G525" t="s">
        <v>27</v>
      </c>
      <c r="H525" t="s">
        <v>22</v>
      </c>
      <c r="I525" t="s">
        <v>28</v>
      </c>
      <c r="J525" t="s">
        <v>23</v>
      </c>
      <c r="K525">
        <v>9</v>
      </c>
      <c r="L525">
        <v>0</v>
      </c>
      <c r="M525" s="2">
        <f t="shared" si="8"/>
        <v>1076.6880000000001</v>
      </c>
      <c r="N525" s="2" t="str">
        <f>IF(Tabla1[[#This Row],[Aprobación_Veterinaria]]=1,"APROBADO","NO APROBADO")</f>
        <v>NO APROBADO</v>
      </c>
      <c r="O525" t="str">
        <f>IF(Tabla1[[#This Row],[Repite compra?]]=1,"REPITE","NO REPITE")</f>
        <v>NO REPITE</v>
      </c>
      <c r="P525" t="str">
        <f>IF(Tabla1[[#This Row],[rating_segun encuesta a Consumidor]]&lt;5,"Regular",IF(Tabla1[[#This Row],[rating_segun encuesta a Consumidor]]&gt;8,"Excelente","Bueno"))</f>
        <v>Excelente</v>
      </c>
    </row>
    <row r="526" spans="1:16" x14ac:dyDescent="0.35">
      <c r="A526" s="1">
        <v>44036</v>
      </c>
      <c r="B526">
        <v>4910</v>
      </c>
      <c r="C526" t="s">
        <v>20</v>
      </c>
      <c r="D526">
        <v>40</v>
      </c>
      <c r="E526">
        <v>226.81200000000001</v>
      </c>
      <c r="F526">
        <v>0</v>
      </c>
      <c r="G526" t="s">
        <v>31</v>
      </c>
      <c r="H526" t="s">
        <v>44</v>
      </c>
      <c r="I526" t="s">
        <v>18</v>
      </c>
      <c r="J526" t="s">
        <v>29</v>
      </c>
      <c r="K526">
        <v>6</v>
      </c>
      <c r="L526">
        <v>0</v>
      </c>
      <c r="M526" s="2">
        <f t="shared" si="8"/>
        <v>9072.48</v>
      </c>
      <c r="N526" s="2" t="str">
        <f>IF(Tabla1[[#This Row],[Aprobación_Veterinaria]]=1,"APROBADO","NO APROBADO")</f>
        <v>NO APROBADO</v>
      </c>
      <c r="O526" t="str">
        <f>IF(Tabla1[[#This Row],[Repite compra?]]=1,"REPITE","NO REPITE")</f>
        <v>NO REPITE</v>
      </c>
      <c r="P526" t="str">
        <f>IF(Tabla1[[#This Row],[rating_segun encuesta a Consumidor]]&lt;5,"Regular",IF(Tabla1[[#This Row],[rating_segun encuesta a Consumidor]]&gt;8,"Excelente","Bueno"))</f>
        <v>Bueno</v>
      </c>
    </row>
    <row r="527" spans="1:16" x14ac:dyDescent="0.35">
      <c r="A527" s="1">
        <v>44063</v>
      </c>
      <c r="B527">
        <v>4282</v>
      </c>
      <c r="C527" t="s">
        <v>39</v>
      </c>
      <c r="D527">
        <v>114</v>
      </c>
      <c r="E527">
        <v>42.323999999999998</v>
      </c>
      <c r="F527">
        <v>0</v>
      </c>
      <c r="G527" t="s">
        <v>33</v>
      </c>
      <c r="H527" t="s">
        <v>22</v>
      </c>
      <c r="I527" t="s">
        <v>18</v>
      </c>
      <c r="J527" t="s">
        <v>53</v>
      </c>
      <c r="K527">
        <v>5</v>
      </c>
      <c r="L527">
        <v>0</v>
      </c>
      <c r="M527" s="2">
        <f t="shared" si="8"/>
        <v>4824.9359999999997</v>
      </c>
      <c r="N527" s="2" t="str">
        <f>IF(Tabla1[[#This Row],[Aprobación_Veterinaria]]=1,"APROBADO","NO APROBADO")</f>
        <v>NO APROBADO</v>
      </c>
      <c r="O527" t="str">
        <f>IF(Tabla1[[#This Row],[Repite compra?]]=1,"REPITE","NO REPITE")</f>
        <v>NO REPITE</v>
      </c>
      <c r="P527" t="str">
        <f>IF(Tabla1[[#This Row],[rating_segun encuesta a Consumidor]]&lt;5,"Regular",IF(Tabla1[[#This Row],[rating_segun encuesta a Consumidor]]&gt;8,"Excelente","Bueno"))</f>
        <v>Bueno</v>
      </c>
    </row>
    <row r="528" spans="1:16" x14ac:dyDescent="0.35">
      <c r="A528" s="1">
        <v>44184</v>
      </c>
      <c r="B528">
        <v>4371</v>
      </c>
      <c r="C528" t="s">
        <v>30</v>
      </c>
      <c r="D528">
        <v>68</v>
      </c>
      <c r="E528">
        <v>221.02799999999999</v>
      </c>
      <c r="F528">
        <v>1</v>
      </c>
      <c r="G528" t="s">
        <v>34</v>
      </c>
      <c r="H528" t="s">
        <v>22</v>
      </c>
      <c r="I528" t="s">
        <v>45</v>
      </c>
      <c r="J528" t="s">
        <v>23</v>
      </c>
      <c r="K528">
        <v>10</v>
      </c>
      <c r="L528">
        <v>0</v>
      </c>
      <c r="M528" s="2">
        <f t="shared" si="8"/>
        <v>15029.903999999999</v>
      </c>
      <c r="N528" s="2" t="str">
        <f>IF(Tabla1[[#This Row],[Aprobación_Veterinaria]]=1,"APROBADO","NO APROBADO")</f>
        <v>APROBADO</v>
      </c>
      <c r="O528" t="str">
        <f>IF(Tabla1[[#This Row],[Repite compra?]]=1,"REPITE","NO REPITE")</f>
        <v>NO REPITE</v>
      </c>
      <c r="P528" t="str">
        <f>IF(Tabla1[[#This Row],[rating_segun encuesta a Consumidor]]&lt;5,"Regular",IF(Tabla1[[#This Row],[rating_segun encuesta a Consumidor]]&gt;8,"Excelente","Bueno"))</f>
        <v>Excelente</v>
      </c>
    </row>
    <row r="529" spans="1:16" x14ac:dyDescent="0.35">
      <c r="A529" s="1">
        <v>44185</v>
      </c>
      <c r="B529">
        <v>4728</v>
      </c>
      <c r="C529" t="s">
        <v>43</v>
      </c>
      <c r="D529">
        <v>37</v>
      </c>
      <c r="E529">
        <v>137.208</v>
      </c>
      <c r="F529">
        <v>0</v>
      </c>
      <c r="G529" t="s">
        <v>36</v>
      </c>
      <c r="H529" t="s">
        <v>50</v>
      </c>
      <c r="I529" t="s">
        <v>18</v>
      </c>
      <c r="J529" t="s">
        <v>29</v>
      </c>
      <c r="K529">
        <v>10</v>
      </c>
      <c r="L529">
        <v>1</v>
      </c>
      <c r="M529" s="2">
        <f t="shared" si="8"/>
        <v>5076.6959999999999</v>
      </c>
      <c r="N529" s="2" t="str">
        <f>IF(Tabla1[[#This Row],[Aprobación_Veterinaria]]=1,"APROBADO","NO APROBADO")</f>
        <v>NO APROBADO</v>
      </c>
      <c r="O529" t="str">
        <f>IF(Tabla1[[#This Row],[Repite compra?]]=1,"REPITE","NO REPITE")</f>
        <v>REPITE</v>
      </c>
      <c r="P529" t="str">
        <f>IF(Tabla1[[#This Row],[rating_segun encuesta a Consumidor]]&lt;5,"Regular",IF(Tabla1[[#This Row],[rating_segun encuesta a Consumidor]]&gt;8,"Excelente","Bueno"))</f>
        <v>Excelente</v>
      </c>
    </row>
    <row r="530" spans="1:16" x14ac:dyDescent="0.35">
      <c r="A530" s="1">
        <v>44177</v>
      </c>
      <c r="B530">
        <v>4825</v>
      </c>
      <c r="C530" t="s">
        <v>26</v>
      </c>
      <c r="D530">
        <v>23</v>
      </c>
      <c r="E530">
        <v>174.72</v>
      </c>
      <c r="F530">
        <v>1</v>
      </c>
      <c r="G530" t="s">
        <v>37</v>
      </c>
      <c r="H530" t="s">
        <v>44</v>
      </c>
      <c r="I530" t="s">
        <v>41</v>
      </c>
      <c r="J530" t="s">
        <v>23</v>
      </c>
      <c r="K530">
        <v>2</v>
      </c>
      <c r="L530">
        <v>1</v>
      </c>
      <c r="M530" s="2">
        <f t="shared" si="8"/>
        <v>4018.56</v>
      </c>
      <c r="N530" s="2" t="str">
        <f>IF(Tabla1[[#This Row],[Aprobación_Veterinaria]]=1,"APROBADO","NO APROBADO")</f>
        <v>APROBADO</v>
      </c>
      <c r="O530" t="str">
        <f>IF(Tabla1[[#This Row],[Repite compra?]]=1,"REPITE","NO REPITE")</f>
        <v>REPITE</v>
      </c>
      <c r="P530" t="str">
        <f>IF(Tabla1[[#This Row],[rating_segun encuesta a Consumidor]]&lt;5,"Regular",IF(Tabla1[[#This Row],[rating_segun encuesta a Consumidor]]&gt;8,"Excelente","Bueno"))</f>
        <v>Regular</v>
      </c>
    </row>
    <row r="531" spans="1:16" x14ac:dyDescent="0.35">
      <c r="A531" s="1">
        <v>44159</v>
      </c>
      <c r="B531">
        <v>4719</v>
      </c>
      <c r="C531" t="s">
        <v>43</v>
      </c>
      <c r="D531">
        <v>85</v>
      </c>
      <c r="E531">
        <v>190.74</v>
      </c>
      <c r="F531">
        <v>1</v>
      </c>
      <c r="G531" t="s">
        <v>40</v>
      </c>
      <c r="H531" t="s">
        <v>54</v>
      </c>
      <c r="I531" t="s">
        <v>41</v>
      </c>
      <c r="J531" t="s">
        <v>23</v>
      </c>
      <c r="K531">
        <v>10</v>
      </c>
      <c r="L531">
        <v>0</v>
      </c>
      <c r="M531" s="2">
        <f t="shared" si="8"/>
        <v>16212.900000000001</v>
      </c>
      <c r="N531" s="2" t="str">
        <f>IF(Tabla1[[#This Row],[Aprobación_Veterinaria]]=1,"APROBADO","NO APROBADO")</f>
        <v>APROBADO</v>
      </c>
      <c r="O531" t="str">
        <f>IF(Tabla1[[#This Row],[Repite compra?]]=1,"REPITE","NO REPITE")</f>
        <v>NO REPITE</v>
      </c>
      <c r="P531" t="str">
        <f>IF(Tabla1[[#This Row],[rating_segun encuesta a Consumidor]]&lt;5,"Regular",IF(Tabla1[[#This Row],[rating_segun encuesta a Consumidor]]&gt;8,"Excelente","Bueno"))</f>
        <v>Excelente</v>
      </c>
    </row>
    <row r="532" spans="1:16" x14ac:dyDescent="0.35">
      <c r="A532" s="1">
        <v>44131</v>
      </c>
      <c r="B532">
        <v>4496</v>
      </c>
      <c r="C532" t="s">
        <v>26</v>
      </c>
      <c r="D532">
        <v>99</v>
      </c>
      <c r="E532">
        <v>184.62</v>
      </c>
      <c r="F532">
        <v>1</v>
      </c>
      <c r="G532" t="s">
        <v>16</v>
      </c>
      <c r="H532" t="s">
        <v>22</v>
      </c>
      <c r="I532" t="s">
        <v>45</v>
      </c>
      <c r="J532" t="s">
        <v>29</v>
      </c>
      <c r="K532">
        <v>10</v>
      </c>
      <c r="L532">
        <v>1</v>
      </c>
      <c r="M532" s="2">
        <f t="shared" si="8"/>
        <v>18277.38</v>
      </c>
      <c r="N532" s="2" t="str">
        <f>IF(Tabla1[[#This Row],[Aprobación_Veterinaria]]=1,"APROBADO","NO APROBADO")</f>
        <v>APROBADO</v>
      </c>
      <c r="O532" t="str">
        <f>IF(Tabla1[[#This Row],[Repite compra?]]=1,"REPITE","NO REPITE")</f>
        <v>REPITE</v>
      </c>
      <c r="P532" t="str">
        <f>IF(Tabla1[[#This Row],[rating_segun encuesta a Consumidor]]&lt;5,"Regular",IF(Tabla1[[#This Row],[rating_segun encuesta a Consumidor]]&gt;8,"Excelente","Bueno"))</f>
        <v>Excelente</v>
      </c>
    </row>
    <row r="533" spans="1:16" x14ac:dyDescent="0.35">
      <c r="A533" s="1">
        <v>43947</v>
      </c>
      <c r="B533">
        <v>4990</v>
      </c>
      <c r="C533" t="s">
        <v>26</v>
      </c>
      <c r="D533">
        <v>221</v>
      </c>
      <c r="E533">
        <v>164.48400000000001</v>
      </c>
      <c r="F533">
        <v>1</v>
      </c>
      <c r="G533" t="s">
        <v>21</v>
      </c>
      <c r="H533" t="s">
        <v>44</v>
      </c>
      <c r="I533" t="s">
        <v>18</v>
      </c>
      <c r="J533" t="s">
        <v>19</v>
      </c>
      <c r="K533">
        <v>6</v>
      </c>
      <c r="L533">
        <v>0</v>
      </c>
      <c r="M533" s="2">
        <f t="shared" si="8"/>
        <v>36350.964</v>
      </c>
      <c r="N533" s="2" t="str">
        <f>IF(Tabla1[[#This Row],[Aprobación_Veterinaria]]=1,"APROBADO","NO APROBADO")</f>
        <v>APROBADO</v>
      </c>
      <c r="O533" t="str">
        <f>IF(Tabla1[[#This Row],[Repite compra?]]=1,"REPITE","NO REPITE")</f>
        <v>NO REPITE</v>
      </c>
      <c r="P533" t="str">
        <f>IF(Tabla1[[#This Row],[rating_segun encuesta a Consumidor]]&lt;5,"Regular",IF(Tabla1[[#This Row],[rating_segun encuesta a Consumidor]]&gt;8,"Excelente","Bueno"))</f>
        <v>Bueno</v>
      </c>
    </row>
    <row r="534" spans="1:16" x14ac:dyDescent="0.35">
      <c r="A534" s="1">
        <v>43929</v>
      </c>
      <c r="B534">
        <v>4339</v>
      </c>
      <c r="C534" t="s">
        <v>51</v>
      </c>
      <c r="D534">
        <v>221</v>
      </c>
      <c r="E534">
        <v>134.22</v>
      </c>
      <c r="F534">
        <v>0</v>
      </c>
      <c r="G534" t="s">
        <v>24</v>
      </c>
      <c r="H534" t="s">
        <v>22</v>
      </c>
      <c r="I534" t="s">
        <v>28</v>
      </c>
      <c r="J534" t="s">
        <v>23</v>
      </c>
      <c r="K534">
        <v>1</v>
      </c>
      <c r="L534">
        <v>1</v>
      </c>
      <c r="M534" s="2">
        <f t="shared" si="8"/>
        <v>29662.62</v>
      </c>
      <c r="N534" s="2" t="str">
        <f>IF(Tabla1[[#This Row],[Aprobación_Veterinaria]]=1,"APROBADO","NO APROBADO")</f>
        <v>NO APROBADO</v>
      </c>
      <c r="O534" t="str">
        <f>IF(Tabla1[[#This Row],[Repite compra?]]=1,"REPITE","NO REPITE")</f>
        <v>REPITE</v>
      </c>
      <c r="P534" t="str">
        <f>IF(Tabla1[[#This Row],[rating_segun encuesta a Consumidor]]&lt;5,"Regular",IF(Tabla1[[#This Row],[rating_segun encuesta a Consumidor]]&gt;8,"Excelente","Bueno"))</f>
        <v>Regular</v>
      </c>
    </row>
    <row r="535" spans="1:16" x14ac:dyDescent="0.35">
      <c r="A535" s="1">
        <v>43978</v>
      </c>
      <c r="B535">
        <v>4622</v>
      </c>
      <c r="C535" t="s">
        <v>20</v>
      </c>
      <c r="D535">
        <v>21</v>
      </c>
      <c r="E535">
        <v>228.14400000000001</v>
      </c>
      <c r="F535">
        <v>1</v>
      </c>
      <c r="G535" t="s">
        <v>27</v>
      </c>
      <c r="H535" t="s">
        <v>22</v>
      </c>
      <c r="I535" t="s">
        <v>18</v>
      </c>
      <c r="J535" t="s">
        <v>29</v>
      </c>
      <c r="K535">
        <v>10</v>
      </c>
      <c r="L535">
        <v>0</v>
      </c>
      <c r="M535" s="2">
        <f t="shared" si="8"/>
        <v>4791.0240000000003</v>
      </c>
      <c r="N535" s="2" t="str">
        <f>IF(Tabla1[[#This Row],[Aprobación_Veterinaria]]=1,"APROBADO","NO APROBADO")</f>
        <v>APROBADO</v>
      </c>
      <c r="O535" t="str">
        <f>IF(Tabla1[[#This Row],[Repite compra?]]=1,"REPITE","NO REPITE")</f>
        <v>NO REPITE</v>
      </c>
      <c r="P535" t="str">
        <f>IF(Tabla1[[#This Row],[rating_segun encuesta a Consumidor]]&lt;5,"Regular",IF(Tabla1[[#This Row],[rating_segun encuesta a Consumidor]]&gt;8,"Excelente","Bueno"))</f>
        <v>Excelente</v>
      </c>
    </row>
    <row r="536" spans="1:16" x14ac:dyDescent="0.35">
      <c r="A536" s="1">
        <v>44050</v>
      </c>
      <c r="B536">
        <v>4437</v>
      </c>
      <c r="C536" t="s">
        <v>30</v>
      </c>
      <c r="D536">
        <v>127</v>
      </c>
      <c r="E536">
        <v>111.444</v>
      </c>
      <c r="F536">
        <v>1</v>
      </c>
      <c r="G536" t="s">
        <v>31</v>
      </c>
      <c r="H536" t="s">
        <v>22</v>
      </c>
      <c r="I536" t="s">
        <v>18</v>
      </c>
      <c r="J536" t="s">
        <v>23</v>
      </c>
      <c r="K536">
        <v>6</v>
      </c>
      <c r="L536">
        <v>1</v>
      </c>
      <c r="M536" s="2">
        <f t="shared" si="8"/>
        <v>14153.388000000001</v>
      </c>
      <c r="N536" s="2" t="str">
        <f>IF(Tabla1[[#This Row],[Aprobación_Veterinaria]]=1,"APROBADO","NO APROBADO")</f>
        <v>APROBADO</v>
      </c>
      <c r="O536" t="str">
        <f>IF(Tabla1[[#This Row],[Repite compra?]]=1,"REPITE","NO REPITE")</f>
        <v>REPITE</v>
      </c>
      <c r="P536" t="str">
        <f>IF(Tabla1[[#This Row],[rating_segun encuesta a Consumidor]]&lt;5,"Regular",IF(Tabla1[[#This Row],[rating_segun encuesta a Consumidor]]&gt;8,"Excelente","Bueno"))</f>
        <v>Bueno</v>
      </c>
    </row>
    <row r="537" spans="1:16" x14ac:dyDescent="0.35">
      <c r="A537" s="1">
        <v>43943</v>
      </c>
      <c r="B537">
        <v>4881</v>
      </c>
      <c r="C537" t="s">
        <v>15</v>
      </c>
      <c r="D537">
        <v>20</v>
      </c>
      <c r="E537">
        <v>137.292</v>
      </c>
      <c r="F537">
        <v>1</v>
      </c>
      <c r="G537" t="s">
        <v>33</v>
      </c>
      <c r="H537" t="s">
        <v>48</v>
      </c>
      <c r="I537" t="s">
        <v>41</v>
      </c>
      <c r="J537" t="s">
        <v>23</v>
      </c>
      <c r="K537">
        <v>6</v>
      </c>
      <c r="L537">
        <v>0</v>
      </c>
      <c r="M537" s="2">
        <f t="shared" si="8"/>
        <v>2745.84</v>
      </c>
      <c r="N537" s="2" t="str">
        <f>IF(Tabla1[[#This Row],[Aprobación_Veterinaria]]=1,"APROBADO","NO APROBADO")</f>
        <v>APROBADO</v>
      </c>
      <c r="O537" t="str">
        <f>IF(Tabla1[[#This Row],[Repite compra?]]=1,"REPITE","NO REPITE")</f>
        <v>NO REPITE</v>
      </c>
      <c r="P537" t="str">
        <f>IF(Tabla1[[#This Row],[rating_segun encuesta a Consumidor]]&lt;5,"Regular",IF(Tabla1[[#This Row],[rating_segun encuesta a Consumidor]]&gt;8,"Excelente","Bueno"))</f>
        <v>Bueno</v>
      </c>
    </row>
    <row r="538" spans="1:16" x14ac:dyDescent="0.35">
      <c r="A538" s="1">
        <v>43997</v>
      </c>
      <c r="B538">
        <v>4829</v>
      </c>
      <c r="C538" t="s">
        <v>20</v>
      </c>
      <c r="D538">
        <v>177</v>
      </c>
      <c r="E538">
        <v>64.260000000000005</v>
      </c>
      <c r="F538">
        <v>1</v>
      </c>
      <c r="G538" t="s">
        <v>34</v>
      </c>
      <c r="H538" t="s">
        <v>54</v>
      </c>
      <c r="I538" t="s">
        <v>41</v>
      </c>
      <c r="J538" t="s">
        <v>23</v>
      </c>
      <c r="K538">
        <v>2</v>
      </c>
      <c r="L538">
        <v>1</v>
      </c>
      <c r="M538" s="2">
        <f t="shared" si="8"/>
        <v>11374.02</v>
      </c>
      <c r="N538" s="2" t="str">
        <f>IF(Tabla1[[#This Row],[Aprobación_Veterinaria]]=1,"APROBADO","NO APROBADO")</f>
        <v>APROBADO</v>
      </c>
      <c r="O538" t="str">
        <f>IF(Tabla1[[#This Row],[Repite compra?]]=1,"REPITE","NO REPITE")</f>
        <v>REPITE</v>
      </c>
      <c r="P538" t="str">
        <f>IF(Tabla1[[#This Row],[rating_segun encuesta a Consumidor]]&lt;5,"Regular",IF(Tabla1[[#This Row],[rating_segun encuesta a Consumidor]]&gt;8,"Excelente","Bueno"))</f>
        <v>Regular</v>
      </c>
    </row>
    <row r="539" spans="1:16" x14ac:dyDescent="0.35">
      <c r="A539" s="1">
        <v>43904</v>
      </c>
      <c r="B539">
        <v>4245</v>
      </c>
      <c r="C539" t="s">
        <v>46</v>
      </c>
      <c r="D539">
        <v>31</v>
      </c>
      <c r="E539">
        <v>19.8</v>
      </c>
      <c r="F539">
        <v>1</v>
      </c>
      <c r="G539" t="s">
        <v>36</v>
      </c>
      <c r="H539" t="s">
        <v>22</v>
      </c>
      <c r="I539" t="s">
        <v>35</v>
      </c>
      <c r="J539" t="s">
        <v>23</v>
      </c>
      <c r="K539">
        <v>6</v>
      </c>
      <c r="L539">
        <v>0</v>
      </c>
      <c r="M539" s="2">
        <f t="shared" si="8"/>
        <v>613.80000000000007</v>
      </c>
      <c r="N539" s="2" t="str">
        <f>IF(Tabla1[[#This Row],[Aprobación_Veterinaria]]=1,"APROBADO","NO APROBADO")</f>
        <v>APROBADO</v>
      </c>
      <c r="O539" t="str">
        <f>IF(Tabla1[[#This Row],[Repite compra?]]=1,"REPITE","NO REPITE")</f>
        <v>NO REPITE</v>
      </c>
      <c r="P539" t="str">
        <f>IF(Tabla1[[#This Row],[rating_segun encuesta a Consumidor]]&lt;5,"Regular",IF(Tabla1[[#This Row],[rating_segun encuesta a Consumidor]]&gt;8,"Excelente","Bueno"))</f>
        <v>Bueno</v>
      </c>
    </row>
    <row r="540" spans="1:16" x14ac:dyDescent="0.35">
      <c r="A540" s="1">
        <v>44013</v>
      </c>
      <c r="B540">
        <v>4337</v>
      </c>
      <c r="C540" t="s">
        <v>39</v>
      </c>
      <c r="D540">
        <v>188</v>
      </c>
      <c r="E540">
        <v>226.608</v>
      </c>
      <c r="F540">
        <v>1</v>
      </c>
      <c r="G540" t="s">
        <v>37</v>
      </c>
      <c r="H540" t="s">
        <v>22</v>
      </c>
      <c r="I540" t="s">
        <v>18</v>
      </c>
      <c r="J540" t="s">
        <v>23</v>
      </c>
      <c r="K540">
        <v>4</v>
      </c>
      <c r="L540">
        <v>1</v>
      </c>
      <c r="M540" s="2">
        <f t="shared" si="8"/>
        <v>42602.304000000004</v>
      </c>
      <c r="N540" s="2" t="str">
        <f>IF(Tabla1[[#This Row],[Aprobación_Veterinaria]]=1,"APROBADO","NO APROBADO")</f>
        <v>APROBADO</v>
      </c>
      <c r="O540" t="str">
        <f>IF(Tabla1[[#This Row],[Repite compra?]]=1,"REPITE","NO REPITE")</f>
        <v>REPITE</v>
      </c>
      <c r="P540" t="str">
        <f>IF(Tabla1[[#This Row],[rating_segun encuesta a Consumidor]]&lt;5,"Regular",IF(Tabla1[[#This Row],[rating_segun encuesta a Consumidor]]&gt;8,"Excelente","Bueno"))</f>
        <v>Regular</v>
      </c>
    </row>
    <row r="541" spans="1:16" x14ac:dyDescent="0.35">
      <c r="A541" s="1">
        <v>43839</v>
      </c>
      <c r="B541">
        <v>5008</v>
      </c>
      <c r="C541" t="s">
        <v>26</v>
      </c>
      <c r="D541">
        <v>127</v>
      </c>
      <c r="E541">
        <v>2.1</v>
      </c>
      <c r="F541">
        <v>1</v>
      </c>
      <c r="G541" t="s">
        <v>40</v>
      </c>
      <c r="H541" t="s">
        <v>50</v>
      </c>
      <c r="I541" t="s">
        <v>18</v>
      </c>
      <c r="J541" t="s">
        <v>19</v>
      </c>
      <c r="K541">
        <v>6</v>
      </c>
      <c r="L541">
        <v>0</v>
      </c>
      <c r="M541" s="2">
        <f t="shared" si="8"/>
        <v>266.7</v>
      </c>
      <c r="N541" s="2" t="str">
        <f>IF(Tabla1[[#This Row],[Aprobación_Veterinaria]]=1,"APROBADO","NO APROBADO")</f>
        <v>APROBADO</v>
      </c>
      <c r="O541" t="str">
        <f>IF(Tabla1[[#This Row],[Repite compra?]]=1,"REPITE","NO REPITE")</f>
        <v>NO REPITE</v>
      </c>
      <c r="P541" t="str">
        <f>IF(Tabla1[[#This Row],[rating_segun encuesta a Consumidor]]&lt;5,"Regular",IF(Tabla1[[#This Row],[rating_segun encuesta a Consumidor]]&gt;8,"Excelente","Bueno"))</f>
        <v>Bueno</v>
      </c>
    </row>
    <row r="542" spans="1:16" x14ac:dyDescent="0.35">
      <c r="A542" s="1">
        <v>44140</v>
      </c>
      <c r="B542">
        <v>4326</v>
      </c>
      <c r="C542" t="s">
        <v>39</v>
      </c>
      <c r="D542">
        <v>5</v>
      </c>
      <c r="E542">
        <v>188.184</v>
      </c>
      <c r="F542">
        <v>0</v>
      </c>
      <c r="G542" t="s">
        <v>16</v>
      </c>
      <c r="H542" t="s">
        <v>22</v>
      </c>
      <c r="I542" t="s">
        <v>45</v>
      </c>
      <c r="J542" t="s">
        <v>29</v>
      </c>
      <c r="K542">
        <v>3</v>
      </c>
      <c r="L542">
        <v>1</v>
      </c>
      <c r="M542" s="2">
        <f t="shared" si="8"/>
        <v>940.92</v>
      </c>
      <c r="N542" s="2" t="str">
        <f>IF(Tabla1[[#This Row],[Aprobación_Veterinaria]]=1,"APROBADO","NO APROBADO")</f>
        <v>NO APROBADO</v>
      </c>
      <c r="O542" t="str">
        <f>IF(Tabla1[[#This Row],[Repite compra?]]=1,"REPITE","NO REPITE")</f>
        <v>REPITE</v>
      </c>
      <c r="P542" t="str">
        <f>IF(Tabla1[[#This Row],[rating_segun encuesta a Consumidor]]&lt;5,"Regular",IF(Tabla1[[#This Row],[rating_segun encuesta a Consumidor]]&gt;8,"Excelente","Bueno"))</f>
        <v>Regular</v>
      </c>
    </row>
    <row r="543" spans="1:16" x14ac:dyDescent="0.35">
      <c r="A543" s="1">
        <v>43862</v>
      </c>
      <c r="B543">
        <v>4742</v>
      </c>
      <c r="C543" t="s">
        <v>30</v>
      </c>
      <c r="D543">
        <v>183</v>
      </c>
      <c r="E543">
        <v>156.40800000000002</v>
      </c>
      <c r="F543">
        <v>0</v>
      </c>
      <c r="G543" t="s">
        <v>21</v>
      </c>
      <c r="H543" t="s">
        <v>38</v>
      </c>
      <c r="I543" t="s">
        <v>18</v>
      </c>
      <c r="J543" t="s">
        <v>29</v>
      </c>
      <c r="K543">
        <v>7</v>
      </c>
      <c r="L543">
        <v>0</v>
      </c>
      <c r="M543" s="2">
        <f t="shared" si="8"/>
        <v>28622.664000000004</v>
      </c>
      <c r="N543" s="2" t="str">
        <f>IF(Tabla1[[#This Row],[Aprobación_Veterinaria]]=1,"APROBADO","NO APROBADO")</f>
        <v>NO APROBADO</v>
      </c>
      <c r="O543" t="str">
        <f>IF(Tabla1[[#This Row],[Repite compra?]]=1,"REPITE","NO REPITE")</f>
        <v>NO REPITE</v>
      </c>
      <c r="P543" t="str">
        <f>IF(Tabla1[[#This Row],[rating_segun encuesta a Consumidor]]&lt;5,"Regular",IF(Tabla1[[#This Row],[rating_segun encuesta a Consumidor]]&gt;8,"Excelente","Bueno"))</f>
        <v>Bueno</v>
      </c>
    </row>
    <row r="544" spans="1:16" x14ac:dyDescent="0.35">
      <c r="A544" s="1">
        <v>43952</v>
      </c>
      <c r="B544">
        <v>5028</v>
      </c>
      <c r="C544" t="s">
        <v>15</v>
      </c>
      <c r="D544">
        <v>8</v>
      </c>
      <c r="E544">
        <v>192.28800000000001</v>
      </c>
      <c r="F544">
        <v>0</v>
      </c>
      <c r="G544" t="s">
        <v>24</v>
      </c>
      <c r="H544" t="s">
        <v>50</v>
      </c>
      <c r="I544" t="s">
        <v>18</v>
      </c>
      <c r="J544" t="s">
        <v>19</v>
      </c>
      <c r="K544">
        <v>6</v>
      </c>
      <c r="L544">
        <v>1</v>
      </c>
      <c r="M544" s="2">
        <f t="shared" si="8"/>
        <v>1538.3040000000001</v>
      </c>
      <c r="N544" s="2" t="str">
        <f>IF(Tabla1[[#This Row],[Aprobación_Veterinaria]]=1,"APROBADO","NO APROBADO")</f>
        <v>NO APROBADO</v>
      </c>
      <c r="O544" t="str">
        <f>IF(Tabla1[[#This Row],[Repite compra?]]=1,"REPITE","NO REPITE")</f>
        <v>REPITE</v>
      </c>
      <c r="P544" t="str">
        <f>IF(Tabla1[[#This Row],[rating_segun encuesta a Consumidor]]&lt;5,"Regular",IF(Tabla1[[#This Row],[rating_segun encuesta a Consumidor]]&gt;8,"Excelente","Bueno"))</f>
        <v>Bueno</v>
      </c>
    </row>
    <row r="545" spans="1:16" x14ac:dyDescent="0.35">
      <c r="A545" s="1">
        <v>44132</v>
      </c>
      <c r="B545">
        <v>4200</v>
      </c>
      <c r="C545" t="s">
        <v>15</v>
      </c>
      <c r="D545">
        <v>151</v>
      </c>
      <c r="E545">
        <v>60.731999999999999</v>
      </c>
      <c r="F545">
        <v>0</v>
      </c>
      <c r="G545" t="s">
        <v>27</v>
      </c>
      <c r="H545" t="s">
        <v>22</v>
      </c>
      <c r="I545" t="s">
        <v>35</v>
      </c>
      <c r="J545" t="s">
        <v>49</v>
      </c>
      <c r="K545">
        <v>1</v>
      </c>
      <c r="L545">
        <v>1</v>
      </c>
      <c r="M545" s="2">
        <f t="shared" si="8"/>
        <v>9170.5319999999992</v>
      </c>
      <c r="N545" s="2" t="str">
        <f>IF(Tabla1[[#This Row],[Aprobación_Veterinaria]]=1,"APROBADO","NO APROBADO")</f>
        <v>NO APROBADO</v>
      </c>
      <c r="O545" t="str">
        <f>IF(Tabla1[[#This Row],[Repite compra?]]=1,"REPITE","NO REPITE")</f>
        <v>REPITE</v>
      </c>
      <c r="P545" t="str">
        <f>IF(Tabla1[[#This Row],[rating_segun encuesta a Consumidor]]&lt;5,"Regular",IF(Tabla1[[#This Row],[rating_segun encuesta a Consumidor]]&gt;8,"Excelente","Bueno"))</f>
        <v>Regular</v>
      </c>
    </row>
    <row r="546" spans="1:16" x14ac:dyDescent="0.35">
      <c r="A546" s="1">
        <v>43858</v>
      </c>
      <c r="B546">
        <v>4987</v>
      </c>
      <c r="C546" t="s">
        <v>26</v>
      </c>
      <c r="D546">
        <v>222</v>
      </c>
      <c r="E546">
        <v>16.943999999999999</v>
      </c>
      <c r="F546">
        <v>0</v>
      </c>
      <c r="G546" t="s">
        <v>31</v>
      </c>
      <c r="H546" t="s">
        <v>38</v>
      </c>
      <c r="I546" t="s">
        <v>41</v>
      </c>
      <c r="J546" t="s">
        <v>49</v>
      </c>
      <c r="K546">
        <v>6</v>
      </c>
      <c r="L546">
        <v>0</v>
      </c>
      <c r="M546" s="2">
        <f t="shared" si="8"/>
        <v>3761.5679999999998</v>
      </c>
      <c r="N546" s="2" t="str">
        <f>IF(Tabla1[[#This Row],[Aprobación_Veterinaria]]=1,"APROBADO","NO APROBADO")</f>
        <v>NO APROBADO</v>
      </c>
      <c r="O546" t="str">
        <f>IF(Tabla1[[#This Row],[Repite compra?]]=1,"REPITE","NO REPITE")</f>
        <v>NO REPITE</v>
      </c>
      <c r="P546" t="str">
        <f>IF(Tabla1[[#This Row],[rating_segun encuesta a Consumidor]]&lt;5,"Regular",IF(Tabla1[[#This Row],[rating_segun encuesta a Consumidor]]&gt;8,"Excelente","Bueno"))</f>
        <v>Bueno</v>
      </c>
    </row>
    <row r="547" spans="1:16" x14ac:dyDescent="0.35">
      <c r="A547" s="1">
        <v>43996</v>
      </c>
      <c r="B547">
        <v>4466</v>
      </c>
      <c r="C547" t="s">
        <v>32</v>
      </c>
      <c r="D547">
        <v>87</v>
      </c>
      <c r="E547">
        <v>43.368000000000002</v>
      </c>
      <c r="F547">
        <v>0</v>
      </c>
      <c r="G547" t="s">
        <v>33</v>
      </c>
      <c r="H547" t="s">
        <v>22</v>
      </c>
      <c r="I547" t="s">
        <v>45</v>
      </c>
      <c r="J547" t="s">
        <v>29</v>
      </c>
      <c r="K547">
        <v>1</v>
      </c>
      <c r="L547">
        <v>1</v>
      </c>
      <c r="M547" s="2">
        <f t="shared" si="8"/>
        <v>3773.0160000000001</v>
      </c>
      <c r="N547" s="2" t="str">
        <f>IF(Tabla1[[#This Row],[Aprobación_Veterinaria]]=1,"APROBADO","NO APROBADO")</f>
        <v>NO APROBADO</v>
      </c>
      <c r="O547" t="str">
        <f>IF(Tabla1[[#This Row],[Repite compra?]]=1,"REPITE","NO REPITE")</f>
        <v>REPITE</v>
      </c>
      <c r="P547" t="str">
        <f>IF(Tabla1[[#This Row],[rating_segun encuesta a Consumidor]]&lt;5,"Regular",IF(Tabla1[[#This Row],[rating_segun encuesta a Consumidor]]&gt;8,"Excelente","Bueno"))</f>
        <v>Regular</v>
      </c>
    </row>
    <row r="548" spans="1:16" x14ac:dyDescent="0.35">
      <c r="A548" s="1">
        <v>44016</v>
      </c>
      <c r="B548">
        <v>4724</v>
      </c>
      <c r="C548" t="s">
        <v>30</v>
      </c>
      <c r="D548">
        <v>222</v>
      </c>
      <c r="E548">
        <v>151.80000000000001</v>
      </c>
      <c r="F548">
        <v>1</v>
      </c>
      <c r="G548" t="s">
        <v>34</v>
      </c>
      <c r="H548" t="s">
        <v>54</v>
      </c>
      <c r="I548" t="s">
        <v>18</v>
      </c>
      <c r="J548" t="s">
        <v>29</v>
      </c>
      <c r="K548">
        <v>10</v>
      </c>
      <c r="L548">
        <v>0</v>
      </c>
      <c r="M548" s="2">
        <f t="shared" si="8"/>
        <v>33699.600000000006</v>
      </c>
      <c r="N548" s="2" t="str">
        <f>IF(Tabla1[[#This Row],[Aprobación_Veterinaria]]=1,"APROBADO","NO APROBADO")</f>
        <v>APROBADO</v>
      </c>
      <c r="O548" t="str">
        <f>IF(Tabla1[[#This Row],[Repite compra?]]=1,"REPITE","NO REPITE")</f>
        <v>NO REPITE</v>
      </c>
      <c r="P548" t="str">
        <f>IF(Tabla1[[#This Row],[rating_segun encuesta a Consumidor]]&lt;5,"Regular",IF(Tabla1[[#This Row],[rating_segun encuesta a Consumidor]]&gt;8,"Excelente","Bueno"))</f>
        <v>Excelente</v>
      </c>
    </row>
    <row r="549" spans="1:16" x14ac:dyDescent="0.35">
      <c r="A549" s="1">
        <v>43872</v>
      </c>
      <c r="B549">
        <v>4535</v>
      </c>
      <c r="C549" t="s">
        <v>39</v>
      </c>
      <c r="D549">
        <v>176</v>
      </c>
      <c r="E549">
        <v>201.9</v>
      </c>
      <c r="F549">
        <v>0</v>
      </c>
      <c r="G549" t="s">
        <v>36</v>
      </c>
      <c r="H549" t="s">
        <v>22</v>
      </c>
      <c r="I549" t="s">
        <v>35</v>
      </c>
      <c r="J549" t="s">
        <v>23</v>
      </c>
      <c r="K549">
        <v>10</v>
      </c>
      <c r="L549">
        <v>1</v>
      </c>
      <c r="M549" s="2">
        <f t="shared" si="8"/>
        <v>35534.400000000001</v>
      </c>
      <c r="N549" s="2" t="str">
        <f>IF(Tabla1[[#This Row],[Aprobación_Veterinaria]]=1,"APROBADO","NO APROBADO")</f>
        <v>NO APROBADO</v>
      </c>
      <c r="O549" t="str">
        <f>IF(Tabla1[[#This Row],[Repite compra?]]=1,"REPITE","NO REPITE")</f>
        <v>REPITE</v>
      </c>
      <c r="P549" t="str">
        <f>IF(Tabla1[[#This Row],[rating_segun encuesta a Consumidor]]&lt;5,"Regular",IF(Tabla1[[#This Row],[rating_segun encuesta a Consumidor]]&gt;8,"Excelente","Bueno"))</f>
        <v>Excelente</v>
      </c>
    </row>
    <row r="550" spans="1:16" x14ac:dyDescent="0.35">
      <c r="A550" s="1">
        <v>44078</v>
      </c>
      <c r="B550">
        <v>4789</v>
      </c>
      <c r="C550" t="s">
        <v>26</v>
      </c>
      <c r="D550">
        <v>181</v>
      </c>
      <c r="E550">
        <v>218.892</v>
      </c>
      <c r="F550">
        <v>1</v>
      </c>
      <c r="G550" t="s">
        <v>37</v>
      </c>
      <c r="H550" t="s">
        <v>54</v>
      </c>
      <c r="I550" t="s">
        <v>41</v>
      </c>
      <c r="J550" t="s">
        <v>23</v>
      </c>
      <c r="K550">
        <v>7</v>
      </c>
      <c r="L550">
        <v>0</v>
      </c>
      <c r="M550" s="2">
        <f t="shared" si="8"/>
        <v>39619.451999999997</v>
      </c>
      <c r="N550" s="2" t="str">
        <f>IF(Tabla1[[#This Row],[Aprobación_Veterinaria]]=1,"APROBADO","NO APROBADO")</f>
        <v>APROBADO</v>
      </c>
      <c r="O550" t="str">
        <f>IF(Tabla1[[#This Row],[Repite compra?]]=1,"REPITE","NO REPITE")</f>
        <v>NO REPITE</v>
      </c>
      <c r="P550" t="str">
        <f>IF(Tabla1[[#This Row],[rating_segun encuesta a Consumidor]]&lt;5,"Regular",IF(Tabla1[[#This Row],[rating_segun encuesta a Consumidor]]&gt;8,"Excelente","Bueno"))</f>
        <v>Bueno</v>
      </c>
    </row>
    <row r="551" spans="1:16" x14ac:dyDescent="0.35">
      <c r="A551" s="1">
        <v>43841</v>
      </c>
      <c r="B551">
        <v>4281</v>
      </c>
      <c r="C551" t="s">
        <v>20</v>
      </c>
      <c r="D551">
        <v>29</v>
      </c>
      <c r="E551">
        <v>15.684000000000001</v>
      </c>
      <c r="F551">
        <v>0</v>
      </c>
      <c r="G551" t="s">
        <v>40</v>
      </c>
      <c r="H551" t="s">
        <v>22</v>
      </c>
      <c r="I551" t="s">
        <v>45</v>
      </c>
      <c r="J551" t="s">
        <v>23</v>
      </c>
      <c r="K551">
        <v>9</v>
      </c>
      <c r="L551">
        <v>0</v>
      </c>
      <c r="M551" s="2">
        <f t="shared" si="8"/>
        <v>454.83600000000001</v>
      </c>
      <c r="N551" s="2" t="str">
        <f>IF(Tabla1[[#This Row],[Aprobación_Veterinaria]]=1,"APROBADO","NO APROBADO")</f>
        <v>NO APROBADO</v>
      </c>
      <c r="O551" t="str">
        <f>IF(Tabla1[[#This Row],[Repite compra?]]=1,"REPITE","NO REPITE")</f>
        <v>NO REPITE</v>
      </c>
      <c r="P551" t="str">
        <f>IF(Tabla1[[#This Row],[rating_segun encuesta a Consumidor]]&lt;5,"Regular",IF(Tabla1[[#This Row],[rating_segun encuesta a Consumidor]]&gt;8,"Excelente","Bueno"))</f>
        <v>Excelente</v>
      </c>
    </row>
    <row r="552" spans="1:16" x14ac:dyDescent="0.35">
      <c r="A552" s="1">
        <v>43867</v>
      </c>
      <c r="B552">
        <v>4817</v>
      </c>
      <c r="C552" t="s">
        <v>20</v>
      </c>
      <c r="D552">
        <v>40</v>
      </c>
      <c r="E552">
        <v>166.68</v>
      </c>
      <c r="F552">
        <v>0</v>
      </c>
      <c r="G552" t="s">
        <v>16</v>
      </c>
      <c r="H552" t="s">
        <v>38</v>
      </c>
      <c r="I552" t="s">
        <v>41</v>
      </c>
      <c r="J552" t="s">
        <v>23</v>
      </c>
      <c r="K552">
        <v>2</v>
      </c>
      <c r="L552">
        <v>1</v>
      </c>
      <c r="M552" s="2">
        <f t="shared" si="8"/>
        <v>6667.2000000000007</v>
      </c>
      <c r="N552" s="2" t="str">
        <f>IF(Tabla1[[#This Row],[Aprobación_Veterinaria]]=1,"APROBADO","NO APROBADO")</f>
        <v>NO APROBADO</v>
      </c>
      <c r="O552" t="str">
        <f>IF(Tabla1[[#This Row],[Repite compra?]]=1,"REPITE","NO REPITE")</f>
        <v>REPITE</v>
      </c>
      <c r="P552" t="str">
        <f>IF(Tabla1[[#This Row],[rating_segun encuesta a Consumidor]]&lt;5,"Regular",IF(Tabla1[[#This Row],[rating_segun encuesta a Consumidor]]&gt;8,"Excelente","Bueno"))</f>
        <v>Regular</v>
      </c>
    </row>
    <row r="553" spans="1:16" x14ac:dyDescent="0.35">
      <c r="A553" s="1">
        <v>44036</v>
      </c>
      <c r="B553">
        <v>4852</v>
      </c>
      <c r="C553" t="s">
        <v>26</v>
      </c>
      <c r="D553">
        <v>30</v>
      </c>
      <c r="E553">
        <v>13.416</v>
      </c>
      <c r="F553">
        <v>1</v>
      </c>
      <c r="G553" t="s">
        <v>21</v>
      </c>
      <c r="H553" t="s">
        <v>38</v>
      </c>
      <c r="I553" t="s">
        <v>18</v>
      </c>
      <c r="J553" t="s">
        <v>29</v>
      </c>
      <c r="K553">
        <v>1</v>
      </c>
      <c r="L553">
        <v>1</v>
      </c>
      <c r="M553" s="2">
        <f t="shared" si="8"/>
        <v>402.48</v>
      </c>
      <c r="N553" s="2" t="str">
        <f>IF(Tabla1[[#This Row],[Aprobación_Veterinaria]]=1,"APROBADO","NO APROBADO")</f>
        <v>APROBADO</v>
      </c>
      <c r="O553" t="str">
        <f>IF(Tabla1[[#This Row],[Repite compra?]]=1,"REPITE","NO REPITE")</f>
        <v>REPITE</v>
      </c>
      <c r="P553" t="str">
        <f>IF(Tabla1[[#This Row],[rating_segun encuesta a Consumidor]]&lt;5,"Regular",IF(Tabla1[[#This Row],[rating_segun encuesta a Consumidor]]&gt;8,"Excelente","Bueno"))</f>
        <v>Regular</v>
      </c>
    </row>
    <row r="554" spans="1:16" x14ac:dyDescent="0.35">
      <c r="A554" s="1">
        <v>43902</v>
      </c>
      <c r="B554">
        <v>5000</v>
      </c>
      <c r="C554" t="s">
        <v>20</v>
      </c>
      <c r="D554">
        <v>103</v>
      </c>
      <c r="E554">
        <v>90.72</v>
      </c>
      <c r="F554">
        <v>1</v>
      </c>
      <c r="G554" t="s">
        <v>24</v>
      </c>
      <c r="H554" t="s">
        <v>44</v>
      </c>
      <c r="I554" t="s">
        <v>18</v>
      </c>
      <c r="J554" t="s">
        <v>19</v>
      </c>
      <c r="K554">
        <v>6</v>
      </c>
      <c r="L554">
        <v>0</v>
      </c>
      <c r="M554" s="2">
        <f t="shared" si="8"/>
        <v>9344.16</v>
      </c>
      <c r="N554" s="2" t="str">
        <f>IF(Tabla1[[#This Row],[Aprobación_Veterinaria]]=1,"APROBADO","NO APROBADO")</f>
        <v>APROBADO</v>
      </c>
      <c r="O554" t="str">
        <f>IF(Tabla1[[#This Row],[Repite compra?]]=1,"REPITE","NO REPITE")</f>
        <v>NO REPITE</v>
      </c>
      <c r="P554" t="str">
        <f>IF(Tabla1[[#This Row],[rating_segun encuesta a Consumidor]]&lt;5,"Regular",IF(Tabla1[[#This Row],[rating_segun encuesta a Consumidor]]&gt;8,"Excelente","Bueno"))</f>
        <v>Bueno</v>
      </c>
    </row>
    <row r="555" spans="1:16" x14ac:dyDescent="0.35">
      <c r="A555" s="1">
        <v>44106</v>
      </c>
      <c r="B555">
        <v>5030</v>
      </c>
      <c r="C555" t="s">
        <v>20</v>
      </c>
      <c r="D555">
        <v>133</v>
      </c>
      <c r="E555">
        <v>8.16</v>
      </c>
      <c r="F555">
        <v>1</v>
      </c>
      <c r="G555" t="s">
        <v>27</v>
      </c>
      <c r="H555" t="s">
        <v>44</v>
      </c>
      <c r="I555" t="s">
        <v>18</v>
      </c>
      <c r="J555" t="s">
        <v>19</v>
      </c>
      <c r="K555">
        <v>6</v>
      </c>
      <c r="L555">
        <v>1</v>
      </c>
      <c r="M555" s="2">
        <f t="shared" si="8"/>
        <v>1085.28</v>
      </c>
      <c r="N555" s="2" t="str">
        <f>IF(Tabla1[[#This Row],[Aprobación_Veterinaria]]=1,"APROBADO","NO APROBADO")</f>
        <v>APROBADO</v>
      </c>
      <c r="O555" t="str">
        <f>IF(Tabla1[[#This Row],[Repite compra?]]=1,"REPITE","NO REPITE")</f>
        <v>REPITE</v>
      </c>
      <c r="P555" t="str">
        <f>IF(Tabla1[[#This Row],[rating_segun encuesta a Consumidor]]&lt;5,"Regular",IF(Tabla1[[#This Row],[rating_segun encuesta a Consumidor]]&gt;8,"Excelente","Bueno"))</f>
        <v>Bueno</v>
      </c>
    </row>
    <row r="556" spans="1:16" x14ac:dyDescent="0.35">
      <c r="A556" s="1">
        <v>44105</v>
      </c>
      <c r="B556">
        <v>4714</v>
      </c>
      <c r="C556" t="s">
        <v>39</v>
      </c>
      <c r="D556">
        <v>120</v>
      </c>
      <c r="E556">
        <v>213.624</v>
      </c>
      <c r="F556">
        <v>0</v>
      </c>
      <c r="G556" t="s">
        <v>31</v>
      </c>
      <c r="H556" t="s">
        <v>54</v>
      </c>
      <c r="I556" t="s">
        <v>18</v>
      </c>
      <c r="J556" t="s">
        <v>29</v>
      </c>
      <c r="K556">
        <v>10</v>
      </c>
      <c r="L556">
        <v>1</v>
      </c>
      <c r="M556" s="2">
        <f t="shared" si="8"/>
        <v>25634.880000000001</v>
      </c>
      <c r="N556" s="2" t="str">
        <f>IF(Tabla1[[#This Row],[Aprobación_Veterinaria]]=1,"APROBADO","NO APROBADO")</f>
        <v>NO APROBADO</v>
      </c>
      <c r="O556" t="str">
        <f>IF(Tabla1[[#This Row],[Repite compra?]]=1,"REPITE","NO REPITE")</f>
        <v>REPITE</v>
      </c>
      <c r="P556" t="str">
        <f>IF(Tabla1[[#This Row],[rating_segun encuesta a Consumidor]]&lt;5,"Regular",IF(Tabla1[[#This Row],[rating_segun encuesta a Consumidor]]&gt;8,"Excelente","Bueno"))</f>
        <v>Excelente</v>
      </c>
    </row>
    <row r="557" spans="1:16" x14ac:dyDescent="0.35">
      <c r="A557" s="1">
        <v>44039</v>
      </c>
      <c r="B557">
        <v>4883</v>
      </c>
      <c r="C557" t="s">
        <v>20</v>
      </c>
      <c r="D557">
        <v>167</v>
      </c>
      <c r="E557">
        <v>233.124</v>
      </c>
      <c r="F557">
        <v>0</v>
      </c>
      <c r="G557" t="s">
        <v>33</v>
      </c>
      <c r="H557" t="s">
        <v>50</v>
      </c>
      <c r="I557" t="s">
        <v>41</v>
      </c>
      <c r="J557" t="s">
        <v>23</v>
      </c>
      <c r="K557">
        <v>6</v>
      </c>
      <c r="L557">
        <v>0</v>
      </c>
      <c r="M557" s="2">
        <f t="shared" si="8"/>
        <v>38931.707999999999</v>
      </c>
      <c r="N557" s="2" t="str">
        <f>IF(Tabla1[[#This Row],[Aprobación_Veterinaria]]=1,"APROBADO","NO APROBADO")</f>
        <v>NO APROBADO</v>
      </c>
      <c r="O557" t="str">
        <f>IF(Tabla1[[#This Row],[Repite compra?]]=1,"REPITE","NO REPITE")</f>
        <v>NO REPITE</v>
      </c>
      <c r="P557" t="str">
        <f>IF(Tabla1[[#This Row],[rating_segun encuesta a Consumidor]]&lt;5,"Regular",IF(Tabla1[[#This Row],[rating_segun encuesta a Consumidor]]&gt;8,"Excelente","Bueno"))</f>
        <v>Bueno</v>
      </c>
    </row>
    <row r="558" spans="1:16" x14ac:dyDescent="0.35">
      <c r="A558" s="1">
        <v>44168</v>
      </c>
      <c r="B558">
        <v>4748</v>
      </c>
      <c r="C558" t="s">
        <v>30</v>
      </c>
      <c r="D558">
        <v>100</v>
      </c>
      <c r="E558">
        <v>25.740000000000002</v>
      </c>
      <c r="F558">
        <v>1</v>
      </c>
      <c r="G558" t="s">
        <v>34</v>
      </c>
      <c r="H558" t="s">
        <v>50</v>
      </c>
      <c r="I558" t="s">
        <v>18</v>
      </c>
      <c r="J558" t="s">
        <v>29</v>
      </c>
      <c r="K558">
        <v>7</v>
      </c>
      <c r="L558">
        <v>0</v>
      </c>
      <c r="M558" s="2">
        <f t="shared" si="8"/>
        <v>2574</v>
      </c>
      <c r="N558" s="2" t="str">
        <f>IF(Tabla1[[#This Row],[Aprobación_Veterinaria]]=1,"APROBADO","NO APROBADO")</f>
        <v>APROBADO</v>
      </c>
      <c r="O558" t="str">
        <f>IF(Tabla1[[#This Row],[Repite compra?]]=1,"REPITE","NO REPITE")</f>
        <v>NO REPITE</v>
      </c>
      <c r="P558" t="str">
        <f>IF(Tabla1[[#This Row],[rating_segun encuesta a Consumidor]]&lt;5,"Regular",IF(Tabla1[[#This Row],[rating_segun encuesta a Consumidor]]&gt;8,"Excelente","Bueno"))</f>
        <v>Bueno</v>
      </c>
    </row>
    <row r="559" spans="1:16" x14ac:dyDescent="0.35">
      <c r="A559" s="1">
        <v>44084</v>
      </c>
      <c r="B559">
        <v>4183</v>
      </c>
      <c r="C559" t="s">
        <v>39</v>
      </c>
      <c r="D559">
        <v>19</v>
      </c>
      <c r="E559">
        <v>150.072</v>
      </c>
      <c r="F559">
        <v>1</v>
      </c>
      <c r="G559" t="s">
        <v>36</v>
      </c>
      <c r="H559" t="s">
        <v>22</v>
      </c>
      <c r="I559" t="s">
        <v>41</v>
      </c>
      <c r="J559" t="s">
        <v>25</v>
      </c>
      <c r="K559">
        <v>2</v>
      </c>
      <c r="L559">
        <v>1</v>
      </c>
      <c r="M559" s="2">
        <f t="shared" si="8"/>
        <v>2851.3679999999999</v>
      </c>
      <c r="N559" s="2" t="str">
        <f>IF(Tabla1[[#This Row],[Aprobación_Veterinaria]]=1,"APROBADO","NO APROBADO")</f>
        <v>APROBADO</v>
      </c>
      <c r="O559" t="str">
        <f>IF(Tabla1[[#This Row],[Repite compra?]]=1,"REPITE","NO REPITE")</f>
        <v>REPITE</v>
      </c>
      <c r="P559" t="str">
        <f>IF(Tabla1[[#This Row],[rating_segun encuesta a Consumidor]]&lt;5,"Regular",IF(Tabla1[[#This Row],[rating_segun encuesta a Consumidor]]&gt;8,"Excelente","Bueno"))</f>
        <v>Regular</v>
      </c>
    </row>
    <row r="560" spans="1:16" x14ac:dyDescent="0.35">
      <c r="A560" s="1">
        <v>44069</v>
      </c>
      <c r="B560">
        <v>4955</v>
      </c>
      <c r="C560" t="s">
        <v>20</v>
      </c>
      <c r="D560">
        <v>84</v>
      </c>
      <c r="E560">
        <v>135.25200000000001</v>
      </c>
      <c r="F560">
        <v>0</v>
      </c>
      <c r="G560" t="s">
        <v>37</v>
      </c>
      <c r="H560" t="s">
        <v>44</v>
      </c>
      <c r="I560" t="s">
        <v>41</v>
      </c>
      <c r="J560" t="s">
        <v>23</v>
      </c>
      <c r="K560">
        <v>6</v>
      </c>
      <c r="L560">
        <v>0</v>
      </c>
      <c r="M560" s="2">
        <f t="shared" si="8"/>
        <v>11361.168000000001</v>
      </c>
      <c r="N560" s="2" t="str">
        <f>IF(Tabla1[[#This Row],[Aprobación_Veterinaria]]=1,"APROBADO","NO APROBADO")</f>
        <v>NO APROBADO</v>
      </c>
      <c r="O560" t="str">
        <f>IF(Tabla1[[#This Row],[Repite compra?]]=1,"REPITE","NO REPITE")</f>
        <v>NO REPITE</v>
      </c>
      <c r="P560" t="str">
        <f>IF(Tabla1[[#This Row],[rating_segun encuesta a Consumidor]]&lt;5,"Regular",IF(Tabla1[[#This Row],[rating_segun encuesta a Consumidor]]&gt;8,"Excelente","Bueno"))</f>
        <v>Bueno</v>
      </c>
    </row>
    <row r="561" spans="1:16" x14ac:dyDescent="0.35">
      <c r="A561" s="1">
        <v>43887</v>
      </c>
      <c r="B561">
        <v>4351</v>
      </c>
      <c r="C561" t="s">
        <v>47</v>
      </c>
      <c r="D561">
        <v>52</v>
      </c>
      <c r="E561">
        <v>95.304000000000002</v>
      </c>
      <c r="F561">
        <v>0</v>
      </c>
      <c r="G561" t="s">
        <v>40</v>
      </c>
      <c r="H561" t="s">
        <v>22</v>
      </c>
      <c r="I561" t="s">
        <v>45</v>
      </c>
      <c r="J561" t="s">
        <v>23</v>
      </c>
      <c r="K561">
        <v>5</v>
      </c>
      <c r="L561">
        <v>0</v>
      </c>
      <c r="M561" s="2">
        <f t="shared" si="8"/>
        <v>4955.808</v>
      </c>
      <c r="N561" s="2" t="str">
        <f>IF(Tabla1[[#This Row],[Aprobación_Veterinaria]]=1,"APROBADO","NO APROBADO")</f>
        <v>NO APROBADO</v>
      </c>
      <c r="O561" t="str">
        <f>IF(Tabla1[[#This Row],[Repite compra?]]=1,"REPITE","NO REPITE")</f>
        <v>NO REPITE</v>
      </c>
      <c r="P561" t="str">
        <f>IF(Tabla1[[#This Row],[rating_segun encuesta a Consumidor]]&lt;5,"Regular",IF(Tabla1[[#This Row],[rating_segun encuesta a Consumidor]]&gt;8,"Excelente","Bueno"))</f>
        <v>Bueno</v>
      </c>
    </row>
    <row r="562" spans="1:16" x14ac:dyDescent="0.35">
      <c r="A562" s="1">
        <v>43880</v>
      </c>
      <c r="B562">
        <v>4787</v>
      </c>
      <c r="C562" t="s">
        <v>20</v>
      </c>
      <c r="D562">
        <v>10</v>
      </c>
      <c r="E562">
        <v>152.76</v>
      </c>
      <c r="F562">
        <v>0</v>
      </c>
      <c r="G562" t="s">
        <v>16</v>
      </c>
      <c r="H562" t="s">
        <v>38</v>
      </c>
      <c r="I562" t="s">
        <v>41</v>
      </c>
      <c r="J562" t="s">
        <v>23</v>
      </c>
      <c r="K562">
        <v>7</v>
      </c>
      <c r="L562">
        <v>1</v>
      </c>
      <c r="M562" s="2">
        <f t="shared" si="8"/>
        <v>1527.6</v>
      </c>
      <c r="N562" s="2" t="str">
        <f>IF(Tabla1[[#This Row],[Aprobación_Veterinaria]]=1,"APROBADO","NO APROBADO")</f>
        <v>NO APROBADO</v>
      </c>
      <c r="O562" t="str">
        <f>IF(Tabla1[[#This Row],[Repite compra?]]=1,"REPITE","NO REPITE")</f>
        <v>REPITE</v>
      </c>
      <c r="P562" t="str">
        <f>IF(Tabla1[[#This Row],[rating_segun encuesta a Consumidor]]&lt;5,"Regular",IF(Tabla1[[#This Row],[rating_segun encuesta a Consumidor]]&gt;8,"Excelente","Bueno"))</f>
        <v>Bueno</v>
      </c>
    </row>
    <row r="563" spans="1:16" x14ac:dyDescent="0.35">
      <c r="A563" s="1">
        <v>44027</v>
      </c>
      <c r="B563">
        <v>4214</v>
      </c>
      <c r="C563" t="s">
        <v>42</v>
      </c>
      <c r="D563">
        <v>172</v>
      </c>
      <c r="E563">
        <v>79.632000000000005</v>
      </c>
      <c r="F563">
        <v>1</v>
      </c>
      <c r="G563" t="s">
        <v>21</v>
      </c>
      <c r="H563" t="s">
        <v>22</v>
      </c>
      <c r="I563" t="s">
        <v>28</v>
      </c>
      <c r="J563" t="s">
        <v>29</v>
      </c>
      <c r="K563">
        <v>6</v>
      </c>
      <c r="L563">
        <v>0</v>
      </c>
      <c r="M563" s="2">
        <f t="shared" si="8"/>
        <v>13696.704000000002</v>
      </c>
      <c r="N563" s="2" t="str">
        <f>IF(Tabla1[[#This Row],[Aprobación_Veterinaria]]=1,"APROBADO","NO APROBADO")</f>
        <v>APROBADO</v>
      </c>
      <c r="O563" t="str">
        <f>IF(Tabla1[[#This Row],[Repite compra?]]=1,"REPITE","NO REPITE")</f>
        <v>NO REPITE</v>
      </c>
      <c r="P563" t="str">
        <f>IF(Tabla1[[#This Row],[rating_segun encuesta a Consumidor]]&lt;5,"Regular",IF(Tabla1[[#This Row],[rating_segun encuesta a Consumidor]]&gt;8,"Excelente","Bueno"))</f>
        <v>Bueno</v>
      </c>
    </row>
    <row r="564" spans="1:16" x14ac:dyDescent="0.35">
      <c r="A564" s="1">
        <v>44050</v>
      </c>
      <c r="B564">
        <v>4614</v>
      </c>
      <c r="C564" t="s">
        <v>51</v>
      </c>
      <c r="D564">
        <v>185</v>
      </c>
      <c r="E564">
        <v>118.29600000000001</v>
      </c>
      <c r="F564">
        <v>1</v>
      </c>
      <c r="G564" t="s">
        <v>24</v>
      </c>
      <c r="H564" t="s">
        <v>22</v>
      </c>
      <c r="I564" t="s">
        <v>28</v>
      </c>
      <c r="J564" t="s">
        <v>29</v>
      </c>
      <c r="K564">
        <v>10</v>
      </c>
      <c r="L564">
        <v>1</v>
      </c>
      <c r="M564" s="2">
        <f t="shared" si="8"/>
        <v>21884.760000000002</v>
      </c>
      <c r="N564" s="2" t="str">
        <f>IF(Tabla1[[#This Row],[Aprobación_Veterinaria]]=1,"APROBADO","NO APROBADO")</f>
        <v>APROBADO</v>
      </c>
      <c r="O564" t="str">
        <f>IF(Tabla1[[#This Row],[Repite compra?]]=1,"REPITE","NO REPITE")</f>
        <v>REPITE</v>
      </c>
      <c r="P564" t="str">
        <f>IF(Tabla1[[#This Row],[rating_segun encuesta a Consumidor]]&lt;5,"Regular",IF(Tabla1[[#This Row],[rating_segun encuesta a Consumidor]]&gt;8,"Excelente","Bueno"))</f>
        <v>Excelente</v>
      </c>
    </row>
    <row r="565" spans="1:16" x14ac:dyDescent="0.35">
      <c r="A565" s="1">
        <v>44090</v>
      </c>
      <c r="B565">
        <v>4457</v>
      </c>
      <c r="C565" t="s">
        <v>20</v>
      </c>
      <c r="D565">
        <v>91</v>
      </c>
      <c r="E565">
        <v>152.43600000000001</v>
      </c>
      <c r="F565">
        <v>0</v>
      </c>
      <c r="G565" t="s">
        <v>27</v>
      </c>
      <c r="H565" t="s">
        <v>22</v>
      </c>
      <c r="I565" t="s">
        <v>18</v>
      </c>
      <c r="J565" t="s">
        <v>23</v>
      </c>
      <c r="K565">
        <v>8</v>
      </c>
      <c r="L565">
        <v>1</v>
      </c>
      <c r="M565" s="2">
        <f t="shared" si="8"/>
        <v>13871.676000000001</v>
      </c>
      <c r="N565" s="2" t="str">
        <f>IF(Tabla1[[#This Row],[Aprobación_Veterinaria]]=1,"APROBADO","NO APROBADO")</f>
        <v>NO APROBADO</v>
      </c>
      <c r="O565" t="str">
        <f>IF(Tabla1[[#This Row],[Repite compra?]]=1,"REPITE","NO REPITE")</f>
        <v>REPITE</v>
      </c>
      <c r="P565" t="str">
        <f>IF(Tabla1[[#This Row],[rating_segun encuesta a Consumidor]]&lt;5,"Regular",IF(Tabla1[[#This Row],[rating_segun encuesta a Consumidor]]&gt;8,"Excelente","Bueno"))</f>
        <v>Bueno</v>
      </c>
    </row>
    <row r="566" spans="1:16" x14ac:dyDescent="0.35">
      <c r="A566" s="1">
        <v>43891</v>
      </c>
      <c r="B566">
        <v>5020</v>
      </c>
      <c r="C566" t="s">
        <v>26</v>
      </c>
      <c r="D566">
        <v>226</v>
      </c>
      <c r="E566">
        <v>202.32</v>
      </c>
      <c r="F566">
        <v>0</v>
      </c>
      <c r="G566" t="s">
        <v>31</v>
      </c>
      <c r="H566" t="s">
        <v>44</v>
      </c>
      <c r="I566" t="s">
        <v>18</v>
      </c>
      <c r="J566" t="s">
        <v>19</v>
      </c>
      <c r="K566">
        <v>6</v>
      </c>
      <c r="L566">
        <v>1</v>
      </c>
      <c r="M566" s="2">
        <f t="shared" si="8"/>
        <v>45724.32</v>
      </c>
      <c r="N566" s="2" t="str">
        <f>IF(Tabla1[[#This Row],[Aprobación_Veterinaria]]=1,"APROBADO","NO APROBADO")</f>
        <v>NO APROBADO</v>
      </c>
      <c r="O566" t="str">
        <f>IF(Tabla1[[#This Row],[Repite compra?]]=1,"REPITE","NO REPITE")</f>
        <v>REPITE</v>
      </c>
      <c r="P566" t="str">
        <f>IF(Tabla1[[#This Row],[rating_segun encuesta a Consumidor]]&lt;5,"Regular",IF(Tabla1[[#This Row],[rating_segun encuesta a Consumidor]]&gt;8,"Excelente","Bueno"))</f>
        <v>Bueno</v>
      </c>
    </row>
    <row r="567" spans="1:16" x14ac:dyDescent="0.35">
      <c r="A567" s="1">
        <v>43854</v>
      </c>
      <c r="B567">
        <v>4286</v>
      </c>
      <c r="C567" t="s">
        <v>43</v>
      </c>
      <c r="D567">
        <v>211</v>
      </c>
      <c r="E567">
        <v>173.4</v>
      </c>
      <c r="F567">
        <v>1</v>
      </c>
      <c r="G567" t="s">
        <v>33</v>
      </c>
      <c r="H567" t="s">
        <v>22</v>
      </c>
      <c r="I567" t="s">
        <v>45</v>
      </c>
      <c r="J567" t="s">
        <v>29</v>
      </c>
      <c r="K567">
        <v>6</v>
      </c>
      <c r="L567">
        <v>0</v>
      </c>
      <c r="M567" s="2">
        <f t="shared" si="8"/>
        <v>36587.4</v>
      </c>
      <c r="N567" s="2" t="str">
        <f>IF(Tabla1[[#This Row],[Aprobación_Veterinaria]]=1,"APROBADO","NO APROBADO")</f>
        <v>APROBADO</v>
      </c>
      <c r="O567" t="str">
        <f>IF(Tabla1[[#This Row],[Repite compra?]]=1,"REPITE","NO REPITE")</f>
        <v>NO REPITE</v>
      </c>
      <c r="P567" t="str">
        <f>IF(Tabla1[[#This Row],[rating_segun encuesta a Consumidor]]&lt;5,"Regular",IF(Tabla1[[#This Row],[rating_segun encuesta a Consumidor]]&gt;8,"Excelente","Bueno"))</f>
        <v>Bueno</v>
      </c>
    </row>
    <row r="568" spans="1:16" x14ac:dyDescent="0.35">
      <c r="A568" s="1">
        <v>43974</v>
      </c>
      <c r="B568">
        <v>4884</v>
      </c>
      <c r="C568" t="s">
        <v>15</v>
      </c>
      <c r="D568">
        <v>44</v>
      </c>
      <c r="E568">
        <v>92.34</v>
      </c>
      <c r="F568">
        <v>0</v>
      </c>
      <c r="G568" t="s">
        <v>34</v>
      </c>
      <c r="H568" t="s">
        <v>54</v>
      </c>
      <c r="I568" t="s">
        <v>18</v>
      </c>
      <c r="J568" t="s">
        <v>29</v>
      </c>
      <c r="K568">
        <v>6</v>
      </c>
      <c r="L568">
        <v>0</v>
      </c>
      <c r="M568" s="2">
        <f t="shared" si="8"/>
        <v>4062.96</v>
      </c>
      <c r="N568" s="2" t="str">
        <f>IF(Tabla1[[#This Row],[Aprobación_Veterinaria]]=1,"APROBADO","NO APROBADO")</f>
        <v>NO APROBADO</v>
      </c>
      <c r="O568" t="str">
        <f>IF(Tabla1[[#This Row],[Repite compra?]]=1,"REPITE","NO REPITE")</f>
        <v>NO REPITE</v>
      </c>
      <c r="P568" t="str">
        <f>IF(Tabla1[[#This Row],[rating_segun encuesta a Consumidor]]&lt;5,"Regular",IF(Tabla1[[#This Row],[rating_segun encuesta a Consumidor]]&gt;8,"Excelente","Bueno"))</f>
        <v>Bueno</v>
      </c>
    </row>
    <row r="569" spans="1:16" x14ac:dyDescent="0.35">
      <c r="A569" s="1">
        <v>44000</v>
      </c>
      <c r="B569">
        <v>4544</v>
      </c>
      <c r="C569" t="s">
        <v>42</v>
      </c>
      <c r="D569">
        <v>77</v>
      </c>
      <c r="E569">
        <v>41.1</v>
      </c>
      <c r="F569">
        <v>1</v>
      </c>
      <c r="G569" t="s">
        <v>36</v>
      </c>
      <c r="H569" t="s">
        <v>22</v>
      </c>
      <c r="I569" t="s">
        <v>28</v>
      </c>
      <c r="J569" t="s">
        <v>29</v>
      </c>
      <c r="K569">
        <v>10</v>
      </c>
      <c r="L569">
        <v>0</v>
      </c>
      <c r="M569" s="2">
        <f t="shared" si="8"/>
        <v>3164.7000000000003</v>
      </c>
      <c r="N569" s="2" t="str">
        <f>IF(Tabla1[[#This Row],[Aprobación_Veterinaria]]=1,"APROBADO","NO APROBADO")</f>
        <v>APROBADO</v>
      </c>
      <c r="O569" t="str">
        <f>IF(Tabla1[[#This Row],[Repite compra?]]=1,"REPITE","NO REPITE")</f>
        <v>NO REPITE</v>
      </c>
      <c r="P569" t="str">
        <f>IF(Tabla1[[#This Row],[rating_segun encuesta a Consumidor]]&lt;5,"Regular",IF(Tabla1[[#This Row],[rating_segun encuesta a Consumidor]]&gt;8,"Excelente","Bueno"))</f>
        <v>Excelente</v>
      </c>
    </row>
    <row r="570" spans="1:16" x14ac:dyDescent="0.35">
      <c r="A570" s="1">
        <v>43877</v>
      </c>
      <c r="B570">
        <v>4421</v>
      </c>
      <c r="C570" t="s">
        <v>46</v>
      </c>
      <c r="D570">
        <v>198</v>
      </c>
      <c r="E570">
        <v>60.527999999999999</v>
      </c>
      <c r="F570">
        <v>0</v>
      </c>
      <c r="G570" t="s">
        <v>37</v>
      </c>
      <c r="H570" t="s">
        <v>22</v>
      </c>
      <c r="I570" t="s">
        <v>45</v>
      </c>
      <c r="J570" t="s">
        <v>23</v>
      </c>
      <c r="K570">
        <v>9</v>
      </c>
      <c r="L570">
        <v>0</v>
      </c>
      <c r="M570" s="2">
        <f t="shared" si="8"/>
        <v>11984.544</v>
      </c>
      <c r="N570" s="2" t="str">
        <f>IF(Tabla1[[#This Row],[Aprobación_Veterinaria]]=1,"APROBADO","NO APROBADO")</f>
        <v>NO APROBADO</v>
      </c>
      <c r="O570" t="str">
        <f>IF(Tabla1[[#This Row],[Repite compra?]]=1,"REPITE","NO REPITE")</f>
        <v>NO REPITE</v>
      </c>
      <c r="P570" t="str">
        <f>IF(Tabla1[[#This Row],[rating_segun encuesta a Consumidor]]&lt;5,"Regular",IF(Tabla1[[#This Row],[rating_segun encuesta a Consumidor]]&gt;8,"Excelente","Bueno"))</f>
        <v>Excelente</v>
      </c>
    </row>
    <row r="571" spans="1:16" x14ac:dyDescent="0.35">
      <c r="A571" s="1">
        <v>44041</v>
      </c>
      <c r="B571">
        <v>4822</v>
      </c>
      <c r="C571" t="s">
        <v>26</v>
      </c>
      <c r="D571">
        <v>135</v>
      </c>
      <c r="E571">
        <v>165.804</v>
      </c>
      <c r="F571">
        <v>1</v>
      </c>
      <c r="G571" t="s">
        <v>40</v>
      </c>
      <c r="H571" t="s">
        <v>38</v>
      </c>
      <c r="I571" t="s">
        <v>18</v>
      </c>
      <c r="J571" t="s">
        <v>29</v>
      </c>
      <c r="K571">
        <v>2</v>
      </c>
      <c r="L571">
        <v>1</v>
      </c>
      <c r="M571" s="2">
        <f t="shared" si="8"/>
        <v>22383.54</v>
      </c>
      <c r="N571" s="2" t="str">
        <f>IF(Tabla1[[#This Row],[Aprobación_Veterinaria]]=1,"APROBADO","NO APROBADO")</f>
        <v>APROBADO</v>
      </c>
      <c r="O571" t="str">
        <f>IF(Tabla1[[#This Row],[Repite compra?]]=1,"REPITE","NO REPITE")</f>
        <v>REPITE</v>
      </c>
      <c r="P571" t="str">
        <f>IF(Tabla1[[#This Row],[rating_segun encuesta a Consumidor]]&lt;5,"Regular",IF(Tabla1[[#This Row],[rating_segun encuesta a Consumidor]]&gt;8,"Excelente","Bueno"))</f>
        <v>Regular</v>
      </c>
    </row>
    <row r="572" spans="1:16" x14ac:dyDescent="0.35">
      <c r="A572" s="1">
        <v>44030</v>
      </c>
      <c r="B572">
        <v>4219</v>
      </c>
      <c r="C572" t="s">
        <v>47</v>
      </c>
      <c r="D572">
        <v>171</v>
      </c>
      <c r="E572">
        <v>114.324</v>
      </c>
      <c r="F572">
        <v>0</v>
      </c>
      <c r="G572" t="s">
        <v>16</v>
      </c>
      <c r="H572" t="s">
        <v>22</v>
      </c>
      <c r="I572" t="s">
        <v>28</v>
      </c>
      <c r="J572" t="s">
        <v>25</v>
      </c>
      <c r="K572">
        <v>8</v>
      </c>
      <c r="L572">
        <v>0</v>
      </c>
      <c r="M572" s="2">
        <f t="shared" si="8"/>
        <v>19549.403999999999</v>
      </c>
      <c r="N572" s="2" t="str">
        <f>IF(Tabla1[[#This Row],[Aprobación_Veterinaria]]=1,"APROBADO","NO APROBADO")</f>
        <v>NO APROBADO</v>
      </c>
      <c r="O572" t="str">
        <f>IF(Tabla1[[#This Row],[Repite compra?]]=1,"REPITE","NO REPITE")</f>
        <v>NO REPITE</v>
      </c>
      <c r="P572" t="str">
        <f>IF(Tabla1[[#This Row],[rating_segun encuesta a Consumidor]]&lt;5,"Regular",IF(Tabla1[[#This Row],[rating_segun encuesta a Consumidor]]&gt;8,"Excelente","Bueno"))</f>
        <v>Bueno</v>
      </c>
    </row>
    <row r="573" spans="1:16" x14ac:dyDescent="0.35">
      <c r="A573" s="1">
        <v>44142</v>
      </c>
      <c r="B573">
        <v>4731</v>
      </c>
      <c r="C573" t="s">
        <v>43</v>
      </c>
      <c r="D573">
        <v>213</v>
      </c>
      <c r="E573">
        <v>33.515999999999998</v>
      </c>
      <c r="F573">
        <v>0</v>
      </c>
      <c r="G573" t="s">
        <v>21</v>
      </c>
      <c r="H573" t="s">
        <v>48</v>
      </c>
      <c r="I573" t="s">
        <v>41</v>
      </c>
      <c r="J573" t="s">
        <v>23</v>
      </c>
      <c r="K573">
        <v>7</v>
      </c>
      <c r="L573">
        <v>1</v>
      </c>
      <c r="M573" s="2">
        <f t="shared" si="8"/>
        <v>7138.9079999999994</v>
      </c>
      <c r="N573" s="2" t="str">
        <f>IF(Tabla1[[#This Row],[Aprobación_Veterinaria]]=1,"APROBADO","NO APROBADO")</f>
        <v>NO APROBADO</v>
      </c>
      <c r="O573" t="str">
        <f>IF(Tabla1[[#This Row],[Repite compra?]]=1,"REPITE","NO REPITE")</f>
        <v>REPITE</v>
      </c>
      <c r="P573" t="str">
        <f>IF(Tabla1[[#This Row],[rating_segun encuesta a Consumidor]]&lt;5,"Regular",IF(Tabla1[[#This Row],[rating_segun encuesta a Consumidor]]&gt;8,"Excelente","Bueno"))</f>
        <v>Bueno</v>
      </c>
    </row>
    <row r="574" spans="1:16" x14ac:dyDescent="0.35">
      <c r="A574" s="1">
        <v>44167</v>
      </c>
      <c r="B574">
        <v>4481</v>
      </c>
      <c r="C574" t="s">
        <v>30</v>
      </c>
      <c r="D574">
        <v>56</v>
      </c>
      <c r="E574">
        <v>177.72</v>
      </c>
      <c r="F574">
        <v>0</v>
      </c>
      <c r="G574" t="s">
        <v>24</v>
      </c>
      <c r="H574" t="s">
        <v>22</v>
      </c>
      <c r="I574" t="s">
        <v>45</v>
      </c>
      <c r="J574" t="s">
        <v>23</v>
      </c>
      <c r="K574">
        <v>8</v>
      </c>
      <c r="L574">
        <v>1</v>
      </c>
      <c r="M574" s="2">
        <f t="shared" si="8"/>
        <v>9952.32</v>
      </c>
      <c r="N574" s="2" t="str">
        <f>IF(Tabla1[[#This Row],[Aprobación_Veterinaria]]=1,"APROBADO","NO APROBADO")</f>
        <v>NO APROBADO</v>
      </c>
      <c r="O574" t="str">
        <f>IF(Tabla1[[#This Row],[Repite compra?]]=1,"REPITE","NO REPITE")</f>
        <v>REPITE</v>
      </c>
      <c r="P574" t="str">
        <f>IF(Tabla1[[#This Row],[rating_segun encuesta a Consumidor]]&lt;5,"Regular",IF(Tabla1[[#This Row],[rating_segun encuesta a Consumidor]]&gt;8,"Excelente","Bueno"))</f>
        <v>Bueno</v>
      </c>
    </row>
    <row r="575" spans="1:16" x14ac:dyDescent="0.35">
      <c r="A575" s="1">
        <v>44160</v>
      </c>
      <c r="B575">
        <v>4879</v>
      </c>
      <c r="C575" t="s">
        <v>26</v>
      </c>
      <c r="D575">
        <v>74</v>
      </c>
      <c r="E575">
        <v>144.744</v>
      </c>
      <c r="F575">
        <v>0</v>
      </c>
      <c r="G575" t="s">
        <v>27</v>
      </c>
      <c r="H575" t="s">
        <v>54</v>
      </c>
      <c r="I575" t="s">
        <v>41</v>
      </c>
      <c r="J575" t="s">
        <v>23</v>
      </c>
      <c r="K575">
        <v>6</v>
      </c>
      <c r="L575">
        <v>0</v>
      </c>
      <c r="M575" s="2">
        <f t="shared" si="8"/>
        <v>10711.056</v>
      </c>
      <c r="N575" s="2" t="str">
        <f>IF(Tabla1[[#This Row],[Aprobación_Veterinaria]]=1,"APROBADO","NO APROBADO")</f>
        <v>NO APROBADO</v>
      </c>
      <c r="O575" t="str">
        <f>IF(Tabla1[[#This Row],[Repite compra?]]=1,"REPITE","NO REPITE")</f>
        <v>NO REPITE</v>
      </c>
      <c r="P575" t="str">
        <f>IF(Tabla1[[#This Row],[rating_segun encuesta a Consumidor]]&lt;5,"Regular",IF(Tabla1[[#This Row],[rating_segun encuesta a Consumidor]]&gt;8,"Excelente","Bueno"))</f>
        <v>Bueno</v>
      </c>
    </row>
    <row r="576" spans="1:16" x14ac:dyDescent="0.35">
      <c r="A576" s="1">
        <v>43916</v>
      </c>
      <c r="B576">
        <v>4757</v>
      </c>
      <c r="C576" t="s">
        <v>30</v>
      </c>
      <c r="D576">
        <v>12</v>
      </c>
      <c r="E576">
        <v>97.26</v>
      </c>
      <c r="F576">
        <v>0</v>
      </c>
      <c r="G576" t="s">
        <v>31</v>
      </c>
      <c r="H576" t="s">
        <v>38</v>
      </c>
      <c r="I576" t="s">
        <v>41</v>
      </c>
      <c r="J576" t="s">
        <v>23</v>
      </c>
      <c r="K576">
        <v>7</v>
      </c>
      <c r="L576">
        <v>1</v>
      </c>
      <c r="M576" s="2">
        <f t="shared" si="8"/>
        <v>1167.1200000000001</v>
      </c>
      <c r="N576" s="2" t="str">
        <f>IF(Tabla1[[#This Row],[Aprobación_Veterinaria]]=1,"APROBADO","NO APROBADO")</f>
        <v>NO APROBADO</v>
      </c>
      <c r="O576" t="str">
        <f>IF(Tabla1[[#This Row],[Repite compra?]]=1,"REPITE","NO REPITE")</f>
        <v>REPITE</v>
      </c>
      <c r="P576" t="str">
        <f>IF(Tabla1[[#This Row],[rating_segun encuesta a Consumidor]]&lt;5,"Regular",IF(Tabla1[[#This Row],[rating_segun encuesta a Consumidor]]&gt;8,"Excelente","Bueno"))</f>
        <v>Bueno</v>
      </c>
    </row>
    <row r="577" spans="1:16" x14ac:dyDescent="0.35">
      <c r="A577" s="1">
        <v>43858</v>
      </c>
      <c r="B577">
        <v>5014</v>
      </c>
      <c r="C577" t="s">
        <v>26</v>
      </c>
      <c r="D577">
        <v>111</v>
      </c>
      <c r="E577">
        <v>26.628</v>
      </c>
      <c r="F577">
        <v>1</v>
      </c>
      <c r="G577" t="s">
        <v>33</v>
      </c>
      <c r="H577" t="s">
        <v>54</v>
      </c>
      <c r="I577" t="s">
        <v>18</v>
      </c>
      <c r="J577" t="s">
        <v>19</v>
      </c>
      <c r="K577">
        <v>6</v>
      </c>
      <c r="L577">
        <v>1</v>
      </c>
      <c r="M577" s="2">
        <f t="shared" si="8"/>
        <v>2955.7080000000001</v>
      </c>
      <c r="N577" s="2" t="str">
        <f>IF(Tabla1[[#This Row],[Aprobación_Veterinaria]]=1,"APROBADO","NO APROBADO")</f>
        <v>APROBADO</v>
      </c>
      <c r="O577" t="str">
        <f>IF(Tabla1[[#This Row],[Repite compra?]]=1,"REPITE","NO REPITE")</f>
        <v>REPITE</v>
      </c>
      <c r="P577" t="str">
        <f>IF(Tabla1[[#This Row],[rating_segun encuesta a Consumidor]]&lt;5,"Regular",IF(Tabla1[[#This Row],[rating_segun encuesta a Consumidor]]&gt;8,"Excelente","Bueno"))</f>
        <v>Bueno</v>
      </c>
    </row>
    <row r="578" spans="1:16" x14ac:dyDescent="0.35">
      <c r="A578" s="1">
        <v>44011</v>
      </c>
      <c r="B578">
        <v>4708</v>
      </c>
      <c r="C578" t="s">
        <v>39</v>
      </c>
      <c r="D578">
        <v>185</v>
      </c>
      <c r="E578">
        <v>191.43600000000001</v>
      </c>
      <c r="F578">
        <v>1</v>
      </c>
      <c r="G578" t="s">
        <v>34</v>
      </c>
      <c r="H578" t="s">
        <v>50</v>
      </c>
      <c r="I578" t="s">
        <v>18</v>
      </c>
      <c r="J578" t="s">
        <v>29</v>
      </c>
      <c r="K578">
        <v>10</v>
      </c>
      <c r="L578">
        <v>1</v>
      </c>
      <c r="M578" s="2">
        <f t="shared" ref="M578:M641" si="9">D578*E578</f>
        <v>35415.660000000003</v>
      </c>
      <c r="N578" s="2" t="str">
        <f>IF(Tabla1[[#This Row],[Aprobación_Veterinaria]]=1,"APROBADO","NO APROBADO")</f>
        <v>APROBADO</v>
      </c>
      <c r="O578" t="str">
        <f>IF(Tabla1[[#This Row],[Repite compra?]]=1,"REPITE","NO REPITE")</f>
        <v>REPITE</v>
      </c>
      <c r="P578" t="str">
        <f>IF(Tabla1[[#This Row],[rating_segun encuesta a Consumidor]]&lt;5,"Regular",IF(Tabla1[[#This Row],[rating_segun encuesta a Consumidor]]&gt;8,"Excelente","Bueno"))</f>
        <v>Excelente</v>
      </c>
    </row>
    <row r="579" spans="1:16" x14ac:dyDescent="0.35">
      <c r="A579" s="1">
        <v>44108</v>
      </c>
      <c r="B579">
        <v>4607</v>
      </c>
      <c r="C579" t="s">
        <v>15</v>
      </c>
      <c r="D579">
        <v>177</v>
      </c>
      <c r="E579">
        <v>111.744</v>
      </c>
      <c r="F579">
        <v>0</v>
      </c>
      <c r="G579" t="s">
        <v>36</v>
      </c>
      <c r="H579" t="s">
        <v>22</v>
      </c>
      <c r="I579" t="s">
        <v>18</v>
      </c>
      <c r="J579" t="s">
        <v>23</v>
      </c>
      <c r="K579">
        <v>10</v>
      </c>
      <c r="L579">
        <v>1</v>
      </c>
      <c r="M579" s="2">
        <f t="shared" si="9"/>
        <v>19778.687999999998</v>
      </c>
      <c r="N579" s="2" t="str">
        <f>IF(Tabla1[[#This Row],[Aprobación_Veterinaria]]=1,"APROBADO","NO APROBADO")</f>
        <v>NO APROBADO</v>
      </c>
      <c r="O579" t="str">
        <f>IF(Tabla1[[#This Row],[Repite compra?]]=1,"REPITE","NO REPITE")</f>
        <v>REPITE</v>
      </c>
      <c r="P579" t="str">
        <f>IF(Tabla1[[#This Row],[rating_segun encuesta a Consumidor]]&lt;5,"Regular",IF(Tabla1[[#This Row],[rating_segun encuesta a Consumidor]]&gt;8,"Excelente","Bueno"))</f>
        <v>Excelente</v>
      </c>
    </row>
    <row r="580" spans="1:16" x14ac:dyDescent="0.35">
      <c r="A580" s="1">
        <v>44142</v>
      </c>
      <c r="B580">
        <v>4446</v>
      </c>
      <c r="C580" t="s">
        <v>20</v>
      </c>
      <c r="D580">
        <v>96</v>
      </c>
      <c r="E580">
        <v>5.5200000000000005</v>
      </c>
      <c r="F580">
        <v>0</v>
      </c>
      <c r="G580" t="s">
        <v>37</v>
      </c>
      <c r="H580" t="s">
        <v>22</v>
      </c>
      <c r="I580" t="s">
        <v>45</v>
      </c>
      <c r="J580" t="s">
        <v>29</v>
      </c>
      <c r="K580">
        <v>9</v>
      </c>
      <c r="L580">
        <v>0</v>
      </c>
      <c r="M580" s="2">
        <f t="shared" si="9"/>
        <v>529.92000000000007</v>
      </c>
      <c r="N580" s="2" t="str">
        <f>IF(Tabla1[[#This Row],[Aprobación_Veterinaria]]=1,"APROBADO","NO APROBADO")</f>
        <v>NO APROBADO</v>
      </c>
      <c r="O580" t="str">
        <f>IF(Tabla1[[#This Row],[Repite compra?]]=1,"REPITE","NO REPITE")</f>
        <v>NO REPITE</v>
      </c>
      <c r="P580" t="str">
        <f>IF(Tabla1[[#This Row],[rating_segun encuesta a Consumidor]]&lt;5,"Regular",IF(Tabla1[[#This Row],[rating_segun encuesta a Consumidor]]&gt;8,"Excelente","Bueno"))</f>
        <v>Excelente</v>
      </c>
    </row>
    <row r="581" spans="1:16" x14ac:dyDescent="0.35">
      <c r="A581" s="1">
        <v>43906</v>
      </c>
      <c r="B581">
        <v>4246</v>
      </c>
      <c r="C581" t="s">
        <v>32</v>
      </c>
      <c r="D581">
        <v>156</v>
      </c>
      <c r="E581">
        <v>106.908</v>
      </c>
      <c r="F581">
        <v>0</v>
      </c>
      <c r="G581" t="s">
        <v>40</v>
      </c>
      <c r="H581" t="s">
        <v>22</v>
      </c>
      <c r="I581" t="s">
        <v>45</v>
      </c>
      <c r="J581" t="s">
        <v>53</v>
      </c>
      <c r="K581">
        <v>10</v>
      </c>
      <c r="L581">
        <v>0</v>
      </c>
      <c r="M581" s="2">
        <f t="shared" si="9"/>
        <v>16677.648000000001</v>
      </c>
      <c r="N581" s="2" t="str">
        <f>IF(Tabla1[[#This Row],[Aprobación_Veterinaria]]=1,"APROBADO","NO APROBADO")</f>
        <v>NO APROBADO</v>
      </c>
      <c r="O581" t="str">
        <f>IF(Tabla1[[#This Row],[Repite compra?]]=1,"REPITE","NO REPITE")</f>
        <v>NO REPITE</v>
      </c>
      <c r="P581" t="str">
        <f>IF(Tabla1[[#This Row],[rating_segun encuesta a Consumidor]]&lt;5,"Regular",IF(Tabla1[[#This Row],[rating_segun encuesta a Consumidor]]&gt;8,"Excelente","Bueno"))</f>
        <v>Excelente</v>
      </c>
    </row>
    <row r="582" spans="1:16" x14ac:dyDescent="0.35">
      <c r="A582" s="1">
        <v>43894</v>
      </c>
      <c r="B582">
        <v>4368</v>
      </c>
      <c r="C582" t="s">
        <v>42</v>
      </c>
      <c r="D582">
        <v>110</v>
      </c>
      <c r="E582">
        <v>23.783999999999999</v>
      </c>
      <c r="F582">
        <v>0</v>
      </c>
      <c r="G582" t="s">
        <v>16</v>
      </c>
      <c r="H582" t="s">
        <v>22</v>
      </c>
      <c r="I582" t="s">
        <v>41</v>
      </c>
      <c r="J582" t="s">
        <v>29</v>
      </c>
      <c r="K582">
        <v>3</v>
      </c>
      <c r="L582">
        <v>0</v>
      </c>
      <c r="M582" s="2">
        <f t="shared" si="9"/>
        <v>2616.2399999999998</v>
      </c>
      <c r="N582" s="2" t="str">
        <f>IF(Tabla1[[#This Row],[Aprobación_Veterinaria]]=1,"APROBADO","NO APROBADO")</f>
        <v>NO APROBADO</v>
      </c>
      <c r="O582" t="str">
        <f>IF(Tabla1[[#This Row],[Repite compra?]]=1,"REPITE","NO REPITE")</f>
        <v>NO REPITE</v>
      </c>
      <c r="P582" t="str">
        <f>IF(Tabla1[[#This Row],[rating_segun encuesta a Consumidor]]&lt;5,"Regular",IF(Tabla1[[#This Row],[rating_segun encuesta a Consumidor]]&gt;8,"Excelente","Bueno"))</f>
        <v>Regular</v>
      </c>
    </row>
    <row r="583" spans="1:16" x14ac:dyDescent="0.35">
      <c r="A583" s="1">
        <v>43880</v>
      </c>
      <c r="B583">
        <v>4566</v>
      </c>
      <c r="C583" t="s">
        <v>42</v>
      </c>
      <c r="D583">
        <v>127</v>
      </c>
      <c r="E583">
        <v>120.19200000000001</v>
      </c>
      <c r="F583">
        <v>0</v>
      </c>
      <c r="G583" t="s">
        <v>21</v>
      </c>
      <c r="H583" t="s">
        <v>22</v>
      </c>
      <c r="I583" t="s">
        <v>45</v>
      </c>
      <c r="J583" t="s">
        <v>29</v>
      </c>
      <c r="K583">
        <v>10</v>
      </c>
      <c r="L583">
        <v>0</v>
      </c>
      <c r="M583" s="2">
        <f t="shared" si="9"/>
        <v>15264.384000000002</v>
      </c>
      <c r="N583" s="2" t="str">
        <f>IF(Tabla1[[#This Row],[Aprobación_Veterinaria]]=1,"APROBADO","NO APROBADO")</f>
        <v>NO APROBADO</v>
      </c>
      <c r="O583" t="str">
        <f>IF(Tabla1[[#This Row],[Repite compra?]]=1,"REPITE","NO REPITE")</f>
        <v>NO REPITE</v>
      </c>
      <c r="P583" t="str">
        <f>IF(Tabla1[[#This Row],[rating_segun encuesta a Consumidor]]&lt;5,"Regular",IF(Tabla1[[#This Row],[rating_segun encuesta a Consumidor]]&gt;8,"Excelente","Bueno"))</f>
        <v>Excelente</v>
      </c>
    </row>
    <row r="584" spans="1:16" x14ac:dyDescent="0.35">
      <c r="A584" s="1">
        <v>44149</v>
      </c>
      <c r="B584">
        <v>4321</v>
      </c>
      <c r="C584" t="s">
        <v>15</v>
      </c>
      <c r="D584">
        <v>227</v>
      </c>
      <c r="E584">
        <v>97.248000000000005</v>
      </c>
      <c r="F584">
        <v>1</v>
      </c>
      <c r="G584" t="s">
        <v>24</v>
      </c>
      <c r="H584" t="s">
        <v>22</v>
      </c>
      <c r="I584" t="s">
        <v>45</v>
      </c>
      <c r="J584" t="s">
        <v>23</v>
      </c>
      <c r="K584">
        <v>5</v>
      </c>
      <c r="L584">
        <v>0</v>
      </c>
      <c r="M584" s="2">
        <f t="shared" si="9"/>
        <v>22075.296000000002</v>
      </c>
      <c r="N584" s="2" t="str">
        <f>IF(Tabla1[[#This Row],[Aprobación_Veterinaria]]=1,"APROBADO","NO APROBADO")</f>
        <v>APROBADO</v>
      </c>
      <c r="O584" t="str">
        <f>IF(Tabla1[[#This Row],[Repite compra?]]=1,"REPITE","NO REPITE")</f>
        <v>NO REPITE</v>
      </c>
      <c r="P584" t="str">
        <f>IF(Tabla1[[#This Row],[rating_segun encuesta a Consumidor]]&lt;5,"Regular",IF(Tabla1[[#This Row],[rating_segun encuesta a Consumidor]]&gt;8,"Excelente","Bueno"))</f>
        <v>Bueno</v>
      </c>
    </row>
    <row r="585" spans="1:16" x14ac:dyDescent="0.35">
      <c r="A585" s="1">
        <v>43940</v>
      </c>
      <c r="B585">
        <v>4665</v>
      </c>
      <c r="C585" t="s">
        <v>42</v>
      </c>
      <c r="D585">
        <v>38</v>
      </c>
      <c r="E585">
        <v>86.195999999999998</v>
      </c>
      <c r="F585">
        <v>0</v>
      </c>
      <c r="G585" t="s">
        <v>27</v>
      </c>
      <c r="H585" t="s">
        <v>22</v>
      </c>
      <c r="I585" t="s">
        <v>35</v>
      </c>
      <c r="J585" t="s">
        <v>23</v>
      </c>
      <c r="K585">
        <v>10</v>
      </c>
      <c r="L585">
        <v>1</v>
      </c>
      <c r="M585" s="2">
        <f t="shared" si="9"/>
        <v>3275.4479999999999</v>
      </c>
      <c r="N585" s="2" t="str">
        <f>IF(Tabla1[[#This Row],[Aprobación_Veterinaria]]=1,"APROBADO","NO APROBADO")</f>
        <v>NO APROBADO</v>
      </c>
      <c r="O585" t="str">
        <f>IF(Tabla1[[#This Row],[Repite compra?]]=1,"REPITE","NO REPITE")</f>
        <v>REPITE</v>
      </c>
      <c r="P585" t="str">
        <f>IF(Tabla1[[#This Row],[rating_segun encuesta a Consumidor]]&lt;5,"Regular",IF(Tabla1[[#This Row],[rating_segun encuesta a Consumidor]]&gt;8,"Excelente","Bueno"))</f>
        <v>Excelente</v>
      </c>
    </row>
    <row r="586" spans="1:16" x14ac:dyDescent="0.35">
      <c r="A586" s="1">
        <v>43877</v>
      </c>
      <c r="B586">
        <v>4398</v>
      </c>
      <c r="C586" t="s">
        <v>15</v>
      </c>
      <c r="D586">
        <v>187</v>
      </c>
      <c r="E586">
        <v>113.86800000000001</v>
      </c>
      <c r="F586">
        <v>1</v>
      </c>
      <c r="G586" t="s">
        <v>31</v>
      </c>
      <c r="H586" t="s">
        <v>22</v>
      </c>
      <c r="I586" t="s">
        <v>41</v>
      </c>
      <c r="J586" t="s">
        <v>29</v>
      </c>
      <c r="K586">
        <v>1</v>
      </c>
      <c r="L586">
        <v>1</v>
      </c>
      <c r="M586" s="2">
        <f t="shared" si="9"/>
        <v>21293.316000000003</v>
      </c>
      <c r="N586" s="2" t="str">
        <f>IF(Tabla1[[#This Row],[Aprobación_Veterinaria]]=1,"APROBADO","NO APROBADO")</f>
        <v>APROBADO</v>
      </c>
      <c r="O586" t="str">
        <f>IF(Tabla1[[#This Row],[Repite compra?]]=1,"REPITE","NO REPITE")</f>
        <v>REPITE</v>
      </c>
      <c r="P586" t="str">
        <f>IF(Tabla1[[#This Row],[rating_segun encuesta a Consumidor]]&lt;5,"Regular",IF(Tabla1[[#This Row],[rating_segun encuesta a Consumidor]]&gt;8,"Excelente","Bueno"))</f>
        <v>Regular</v>
      </c>
    </row>
    <row r="587" spans="1:16" x14ac:dyDescent="0.35">
      <c r="A587" s="1">
        <v>43835</v>
      </c>
      <c r="B587">
        <v>4971</v>
      </c>
      <c r="C587" t="s">
        <v>15</v>
      </c>
      <c r="D587">
        <v>48</v>
      </c>
      <c r="E587">
        <v>171.66</v>
      </c>
      <c r="F587">
        <v>0</v>
      </c>
      <c r="G587" t="s">
        <v>33</v>
      </c>
      <c r="H587" t="s">
        <v>48</v>
      </c>
      <c r="I587" t="s">
        <v>41</v>
      </c>
      <c r="J587" t="s">
        <v>49</v>
      </c>
      <c r="K587">
        <v>6</v>
      </c>
      <c r="L587">
        <v>0</v>
      </c>
      <c r="M587" s="2">
        <f t="shared" si="9"/>
        <v>8239.68</v>
      </c>
      <c r="N587" s="2" t="str">
        <f>IF(Tabla1[[#This Row],[Aprobación_Veterinaria]]=1,"APROBADO","NO APROBADO")</f>
        <v>NO APROBADO</v>
      </c>
      <c r="O587" t="str">
        <f>IF(Tabla1[[#This Row],[Repite compra?]]=1,"REPITE","NO REPITE")</f>
        <v>NO REPITE</v>
      </c>
      <c r="P587" t="str">
        <f>IF(Tabla1[[#This Row],[rating_segun encuesta a Consumidor]]&lt;5,"Regular",IF(Tabla1[[#This Row],[rating_segun encuesta a Consumidor]]&gt;8,"Excelente","Bueno"))</f>
        <v>Bueno</v>
      </c>
    </row>
    <row r="588" spans="1:16" x14ac:dyDescent="0.35">
      <c r="A588" s="1">
        <v>43938</v>
      </c>
      <c r="B588">
        <v>4604</v>
      </c>
      <c r="C588" t="s">
        <v>47</v>
      </c>
      <c r="D588">
        <v>193</v>
      </c>
      <c r="E588">
        <v>116.11200000000001</v>
      </c>
      <c r="F588">
        <v>1</v>
      </c>
      <c r="G588" t="s">
        <v>34</v>
      </c>
      <c r="H588" t="s">
        <v>22</v>
      </c>
      <c r="I588" t="s">
        <v>28</v>
      </c>
      <c r="J588" t="s">
        <v>29</v>
      </c>
      <c r="K588">
        <v>10</v>
      </c>
      <c r="L588">
        <v>0</v>
      </c>
      <c r="M588" s="2">
        <f t="shared" si="9"/>
        <v>22409.616000000002</v>
      </c>
      <c r="N588" s="2" t="str">
        <f>IF(Tabla1[[#This Row],[Aprobación_Veterinaria]]=1,"APROBADO","NO APROBADO")</f>
        <v>APROBADO</v>
      </c>
      <c r="O588" t="str">
        <f>IF(Tabla1[[#This Row],[Repite compra?]]=1,"REPITE","NO REPITE")</f>
        <v>NO REPITE</v>
      </c>
      <c r="P588" t="str">
        <f>IF(Tabla1[[#This Row],[rating_segun encuesta a Consumidor]]&lt;5,"Regular",IF(Tabla1[[#This Row],[rating_segun encuesta a Consumidor]]&gt;8,"Excelente","Bueno"))</f>
        <v>Excelente</v>
      </c>
    </row>
    <row r="589" spans="1:16" x14ac:dyDescent="0.35">
      <c r="A589" s="1">
        <v>43944</v>
      </c>
      <c r="B589">
        <v>4939</v>
      </c>
      <c r="C589" t="s">
        <v>26</v>
      </c>
      <c r="D589">
        <v>143</v>
      </c>
      <c r="E589">
        <v>14.772</v>
      </c>
      <c r="F589">
        <v>0</v>
      </c>
      <c r="G589" t="s">
        <v>36</v>
      </c>
      <c r="H589" t="s">
        <v>54</v>
      </c>
      <c r="I589" t="s">
        <v>41</v>
      </c>
      <c r="J589" t="s">
        <v>23</v>
      </c>
      <c r="K589">
        <v>6</v>
      </c>
      <c r="L589">
        <v>0</v>
      </c>
      <c r="M589" s="2">
        <f t="shared" si="9"/>
        <v>2112.3960000000002</v>
      </c>
      <c r="N589" s="2" t="str">
        <f>IF(Tabla1[[#This Row],[Aprobación_Veterinaria]]=1,"APROBADO","NO APROBADO")</f>
        <v>NO APROBADO</v>
      </c>
      <c r="O589" t="str">
        <f>IF(Tabla1[[#This Row],[Repite compra?]]=1,"REPITE","NO REPITE")</f>
        <v>NO REPITE</v>
      </c>
      <c r="P589" t="str">
        <f>IF(Tabla1[[#This Row],[rating_segun encuesta a Consumidor]]&lt;5,"Regular",IF(Tabla1[[#This Row],[rating_segun encuesta a Consumidor]]&gt;8,"Excelente","Bueno"))</f>
        <v>Bueno</v>
      </c>
    </row>
    <row r="590" spans="1:16" x14ac:dyDescent="0.35">
      <c r="A590" s="1">
        <v>44192</v>
      </c>
      <c r="B590">
        <v>4964</v>
      </c>
      <c r="C590" t="s">
        <v>20</v>
      </c>
      <c r="D590">
        <v>56</v>
      </c>
      <c r="E590">
        <v>202.95600000000002</v>
      </c>
      <c r="F590">
        <v>1</v>
      </c>
      <c r="G590" t="s">
        <v>37</v>
      </c>
      <c r="H590" t="s">
        <v>54</v>
      </c>
      <c r="I590" t="s">
        <v>18</v>
      </c>
      <c r="J590" t="s">
        <v>19</v>
      </c>
      <c r="K590">
        <v>6</v>
      </c>
      <c r="L590">
        <v>0</v>
      </c>
      <c r="M590" s="2">
        <f t="shared" si="9"/>
        <v>11365.536</v>
      </c>
      <c r="N590" s="2" t="str">
        <f>IF(Tabla1[[#This Row],[Aprobación_Veterinaria]]=1,"APROBADO","NO APROBADO")</f>
        <v>APROBADO</v>
      </c>
      <c r="O590" t="str">
        <f>IF(Tabla1[[#This Row],[Repite compra?]]=1,"REPITE","NO REPITE")</f>
        <v>NO REPITE</v>
      </c>
      <c r="P590" t="str">
        <f>IF(Tabla1[[#This Row],[rating_segun encuesta a Consumidor]]&lt;5,"Regular",IF(Tabla1[[#This Row],[rating_segun encuesta a Consumidor]]&gt;8,"Excelente","Bueno"))</f>
        <v>Bueno</v>
      </c>
    </row>
    <row r="591" spans="1:16" x14ac:dyDescent="0.35">
      <c r="A591" s="1">
        <v>44016</v>
      </c>
      <c r="B591">
        <v>4546</v>
      </c>
      <c r="C591" t="s">
        <v>39</v>
      </c>
      <c r="D591">
        <v>112</v>
      </c>
      <c r="E591">
        <v>191.49600000000001</v>
      </c>
      <c r="F591">
        <v>0</v>
      </c>
      <c r="G591" t="s">
        <v>40</v>
      </c>
      <c r="H591" t="s">
        <v>22</v>
      </c>
      <c r="I591" t="s">
        <v>45</v>
      </c>
      <c r="J591" t="s">
        <v>29</v>
      </c>
      <c r="K591">
        <v>10</v>
      </c>
      <c r="L591">
        <v>1</v>
      </c>
      <c r="M591" s="2">
        <f t="shared" si="9"/>
        <v>21447.552</v>
      </c>
      <c r="N591" s="2" t="str">
        <f>IF(Tabla1[[#This Row],[Aprobación_Veterinaria]]=1,"APROBADO","NO APROBADO")</f>
        <v>NO APROBADO</v>
      </c>
      <c r="O591" t="str">
        <f>IF(Tabla1[[#This Row],[Repite compra?]]=1,"REPITE","NO REPITE")</f>
        <v>REPITE</v>
      </c>
      <c r="P591" t="str">
        <f>IF(Tabla1[[#This Row],[rating_segun encuesta a Consumidor]]&lt;5,"Regular",IF(Tabla1[[#This Row],[rating_segun encuesta a Consumidor]]&gt;8,"Excelente","Bueno"))</f>
        <v>Excelente</v>
      </c>
    </row>
    <row r="592" spans="1:16" x14ac:dyDescent="0.35">
      <c r="A592" s="1">
        <v>44071</v>
      </c>
      <c r="B592">
        <v>4501</v>
      </c>
      <c r="C592" t="s">
        <v>20</v>
      </c>
      <c r="D592">
        <v>21</v>
      </c>
      <c r="E592">
        <v>86.100000000000009</v>
      </c>
      <c r="F592">
        <v>0</v>
      </c>
      <c r="G592" t="s">
        <v>16</v>
      </c>
      <c r="H592" t="s">
        <v>22</v>
      </c>
      <c r="I592" t="s">
        <v>45</v>
      </c>
      <c r="J592" t="s">
        <v>23</v>
      </c>
      <c r="K592">
        <v>4</v>
      </c>
      <c r="L592">
        <v>1</v>
      </c>
      <c r="M592" s="2">
        <f t="shared" si="9"/>
        <v>1808.1000000000001</v>
      </c>
      <c r="N592" s="2" t="str">
        <f>IF(Tabla1[[#This Row],[Aprobación_Veterinaria]]=1,"APROBADO","NO APROBADO")</f>
        <v>NO APROBADO</v>
      </c>
      <c r="O592" t="str">
        <f>IF(Tabla1[[#This Row],[Repite compra?]]=1,"REPITE","NO REPITE")</f>
        <v>REPITE</v>
      </c>
      <c r="P592" t="str">
        <f>IF(Tabla1[[#This Row],[rating_segun encuesta a Consumidor]]&lt;5,"Regular",IF(Tabla1[[#This Row],[rating_segun encuesta a Consumidor]]&gt;8,"Excelente","Bueno"))</f>
        <v>Regular</v>
      </c>
    </row>
    <row r="593" spans="1:16" x14ac:dyDescent="0.35">
      <c r="A593" s="1">
        <v>43900</v>
      </c>
      <c r="B593">
        <v>4791</v>
      </c>
      <c r="C593" t="s">
        <v>15</v>
      </c>
      <c r="D593">
        <v>82</v>
      </c>
      <c r="E593">
        <v>177.49199999999999</v>
      </c>
      <c r="F593">
        <v>0</v>
      </c>
      <c r="G593" t="s">
        <v>21</v>
      </c>
      <c r="H593" t="s">
        <v>48</v>
      </c>
      <c r="I593" t="s">
        <v>41</v>
      </c>
      <c r="J593" t="s">
        <v>23</v>
      </c>
      <c r="K593">
        <v>7</v>
      </c>
      <c r="L593">
        <v>1</v>
      </c>
      <c r="M593" s="2">
        <f t="shared" si="9"/>
        <v>14554.343999999999</v>
      </c>
      <c r="N593" s="2" t="str">
        <f>IF(Tabla1[[#This Row],[Aprobación_Veterinaria]]=1,"APROBADO","NO APROBADO")</f>
        <v>NO APROBADO</v>
      </c>
      <c r="O593" t="str">
        <f>IF(Tabla1[[#This Row],[Repite compra?]]=1,"REPITE","NO REPITE")</f>
        <v>REPITE</v>
      </c>
      <c r="P593" t="str">
        <f>IF(Tabla1[[#This Row],[rating_segun encuesta a Consumidor]]&lt;5,"Regular",IF(Tabla1[[#This Row],[rating_segun encuesta a Consumidor]]&gt;8,"Excelente","Bueno"))</f>
        <v>Bueno</v>
      </c>
    </row>
    <row r="594" spans="1:16" x14ac:dyDescent="0.35">
      <c r="A594" s="1">
        <v>44011</v>
      </c>
      <c r="B594">
        <v>4772</v>
      </c>
      <c r="C594" t="s">
        <v>20</v>
      </c>
      <c r="D594">
        <v>57</v>
      </c>
      <c r="E594">
        <v>158.72399999999999</v>
      </c>
      <c r="F594">
        <v>1</v>
      </c>
      <c r="G594" t="s">
        <v>24</v>
      </c>
      <c r="H594" t="s">
        <v>38</v>
      </c>
      <c r="I594" t="s">
        <v>18</v>
      </c>
      <c r="J594" t="s">
        <v>29</v>
      </c>
      <c r="K594">
        <v>7</v>
      </c>
      <c r="L594">
        <v>1</v>
      </c>
      <c r="M594" s="2">
        <f t="shared" si="9"/>
        <v>9047.268</v>
      </c>
      <c r="N594" s="2" t="str">
        <f>IF(Tabla1[[#This Row],[Aprobación_Veterinaria]]=1,"APROBADO","NO APROBADO")</f>
        <v>APROBADO</v>
      </c>
      <c r="O594" t="str">
        <f>IF(Tabla1[[#This Row],[Repite compra?]]=1,"REPITE","NO REPITE")</f>
        <v>REPITE</v>
      </c>
      <c r="P594" t="str">
        <f>IF(Tabla1[[#This Row],[rating_segun encuesta a Consumidor]]&lt;5,"Regular",IF(Tabla1[[#This Row],[rating_segun encuesta a Consumidor]]&gt;8,"Excelente","Bueno"))</f>
        <v>Bueno</v>
      </c>
    </row>
    <row r="595" spans="1:16" x14ac:dyDescent="0.35">
      <c r="A595" s="1">
        <v>44093</v>
      </c>
      <c r="B595">
        <v>4540</v>
      </c>
      <c r="C595" t="s">
        <v>26</v>
      </c>
      <c r="D595">
        <v>177</v>
      </c>
      <c r="E595">
        <v>8.2799999999999994</v>
      </c>
      <c r="F595">
        <v>1</v>
      </c>
      <c r="G595" t="s">
        <v>27</v>
      </c>
      <c r="H595" t="s">
        <v>22</v>
      </c>
      <c r="I595" t="s">
        <v>35</v>
      </c>
      <c r="J595" t="s">
        <v>29</v>
      </c>
      <c r="K595">
        <v>10</v>
      </c>
      <c r="L595">
        <v>1</v>
      </c>
      <c r="M595" s="2">
        <f t="shared" si="9"/>
        <v>1465.56</v>
      </c>
      <c r="N595" s="2" t="str">
        <f>IF(Tabla1[[#This Row],[Aprobación_Veterinaria]]=1,"APROBADO","NO APROBADO")</f>
        <v>APROBADO</v>
      </c>
      <c r="O595" t="str">
        <f>IF(Tabla1[[#This Row],[Repite compra?]]=1,"REPITE","NO REPITE")</f>
        <v>REPITE</v>
      </c>
      <c r="P595" t="str">
        <f>IF(Tabla1[[#This Row],[rating_segun encuesta a Consumidor]]&lt;5,"Regular",IF(Tabla1[[#This Row],[rating_segun encuesta a Consumidor]]&gt;8,"Excelente","Bueno"))</f>
        <v>Excelente</v>
      </c>
    </row>
    <row r="596" spans="1:16" x14ac:dyDescent="0.35">
      <c r="A596" s="1">
        <v>43963</v>
      </c>
      <c r="B596">
        <v>4372</v>
      </c>
      <c r="C596" t="s">
        <v>51</v>
      </c>
      <c r="D596">
        <v>227</v>
      </c>
      <c r="E596">
        <v>5.76</v>
      </c>
      <c r="F596">
        <v>0</v>
      </c>
      <c r="G596" t="s">
        <v>31</v>
      </c>
      <c r="H596" t="s">
        <v>22</v>
      </c>
      <c r="I596" t="s">
        <v>18</v>
      </c>
      <c r="J596" t="s">
        <v>29</v>
      </c>
      <c r="K596">
        <v>9</v>
      </c>
      <c r="L596">
        <v>0</v>
      </c>
      <c r="M596" s="2">
        <f t="shared" si="9"/>
        <v>1307.52</v>
      </c>
      <c r="N596" s="2" t="str">
        <f>IF(Tabla1[[#This Row],[Aprobación_Veterinaria]]=1,"APROBADO","NO APROBADO")</f>
        <v>NO APROBADO</v>
      </c>
      <c r="O596" t="str">
        <f>IF(Tabla1[[#This Row],[Repite compra?]]=1,"REPITE","NO REPITE")</f>
        <v>NO REPITE</v>
      </c>
      <c r="P596" t="str">
        <f>IF(Tabla1[[#This Row],[rating_segun encuesta a Consumidor]]&lt;5,"Regular",IF(Tabla1[[#This Row],[rating_segun encuesta a Consumidor]]&gt;8,"Excelente","Bueno"))</f>
        <v>Excelente</v>
      </c>
    </row>
    <row r="597" spans="1:16" x14ac:dyDescent="0.35">
      <c r="A597" s="1">
        <v>43895</v>
      </c>
      <c r="B597">
        <v>4349</v>
      </c>
      <c r="C597" t="s">
        <v>30</v>
      </c>
      <c r="D597">
        <v>189</v>
      </c>
      <c r="E597">
        <v>110.988</v>
      </c>
      <c r="F597">
        <v>1</v>
      </c>
      <c r="G597" t="s">
        <v>33</v>
      </c>
      <c r="H597" t="s">
        <v>22</v>
      </c>
      <c r="I597" t="s">
        <v>28</v>
      </c>
      <c r="J597" t="s">
        <v>23</v>
      </c>
      <c r="K597">
        <v>5</v>
      </c>
      <c r="L597">
        <v>0</v>
      </c>
      <c r="M597" s="2">
        <f t="shared" si="9"/>
        <v>20976.732</v>
      </c>
      <c r="N597" s="2" t="str">
        <f>IF(Tabla1[[#This Row],[Aprobación_Veterinaria]]=1,"APROBADO","NO APROBADO")</f>
        <v>APROBADO</v>
      </c>
      <c r="O597" t="str">
        <f>IF(Tabla1[[#This Row],[Repite compra?]]=1,"REPITE","NO REPITE")</f>
        <v>NO REPITE</v>
      </c>
      <c r="P597" t="str">
        <f>IF(Tabla1[[#This Row],[rating_segun encuesta a Consumidor]]&lt;5,"Regular",IF(Tabla1[[#This Row],[rating_segun encuesta a Consumidor]]&gt;8,"Excelente","Bueno"))</f>
        <v>Bueno</v>
      </c>
    </row>
    <row r="598" spans="1:16" x14ac:dyDescent="0.35">
      <c r="A598" s="1">
        <v>44167</v>
      </c>
      <c r="B598">
        <v>4256</v>
      </c>
      <c r="C598" t="s">
        <v>46</v>
      </c>
      <c r="D598">
        <v>46</v>
      </c>
      <c r="E598">
        <v>35.951999999999998</v>
      </c>
      <c r="F598">
        <v>1</v>
      </c>
      <c r="G598" t="s">
        <v>34</v>
      </c>
      <c r="H598" t="s">
        <v>22</v>
      </c>
      <c r="I598" t="s">
        <v>45</v>
      </c>
      <c r="J598" t="s">
        <v>29</v>
      </c>
      <c r="K598">
        <v>8</v>
      </c>
      <c r="L598">
        <v>1</v>
      </c>
      <c r="M598" s="2">
        <f t="shared" si="9"/>
        <v>1653.7919999999999</v>
      </c>
      <c r="N598" s="2" t="str">
        <f>IF(Tabla1[[#This Row],[Aprobación_Veterinaria]]=1,"APROBADO","NO APROBADO")</f>
        <v>APROBADO</v>
      </c>
      <c r="O598" t="str">
        <f>IF(Tabla1[[#This Row],[Repite compra?]]=1,"REPITE","NO REPITE")</f>
        <v>REPITE</v>
      </c>
      <c r="P598" t="str">
        <f>IF(Tabla1[[#This Row],[rating_segun encuesta a Consumidor]]&lt;5,"Regular",IF(Tabla1[[#This Row],[rating_segun encuesta a Consumidor]]&gt;8,"Excelente","Bueno"))</f>
        <v>Bueno</v>
      </c>
    </row>
    <row r="599" spans="1:16" x14ac:dyDescent="0.35">
      <c r="A599" s="1">
        <v>44159</v>
      </c>
      <c r="B599">
        <v>4691</v>
      </c>
      <c r="C599" t="s">
        <v>30</v>
      </c>
      <c r="D599">
        <v>44</v>
      </c>
      <c r="E599">
        <v>223.30799999999999</v>
      </c>
      <c r="F599">
        <v>0</v>
      </c>
      <c r="G599" t="s">
        <v>36</v>
      </c>
      <c r="H599" t="s">
        <v>48</v>
      </c>
      <c r="I599" t="s">
        <v>45</v>
      </c>
      <c r="J599" t="s">
        <v>23</v>
      </c>
      <c r="K599">
        <v>10</v>
      </c>
      <c r="L599">
        <v>0</v>
      </c>
      <c r="M599" s="2">
        <f t="shared" si="9"/>
        <v>9825.5519999999997</v>
      </c>
      <c r="N599" s="2" t="str">
        <f>IF(Tabla1[[#This Row],[Aprobación_Veterinaria]]=1,"APROBADO","NO APROBADO")</f>
        <v>NO APROBADO</v>
      </c>
      <c r="O599" t="str">
        <f>IF(Tabla1[[#This Row],[Repite compra?]]=1,"REPITE","NO REPITE")</f>
        <v>NO REPITE</v>
      </c>
      <c r="P599" t="str">
        <f>IF(Tabla1[[#This Row],[rating_segun encuesta a Consumidor]]&lt;5,"Regular",IF(Tabla1[[#This Row],[rating_segun encuesta a Consumidor]]&gt;8,"Excelente","Bueno"))</f>
        <v>Excelente</v>
      </c>
    </row>
    <row r="600" spans="1:16" x14ac:dyDescent="0.35">
      <c r="A600" s="1">
        <v>44033</v>
      </c>
      <c r="B600">
        <v>4866</v>
      </c>
      <c r="C600" t="s">
        <v>15</v>
      </c>
      <c r="D600">
        <v>99</v>
      </c>
      <c r="E600">
        <v>213.06</v>
      </c>
      <c r="F600">
        <v>0</v>
      </c>
      <c r="G600" t="s">
        <v>37</v>
      </c>
      <c r="H600" t="s">
        <v>48</v>
      </c>
      <c r="I600" t="s">
        <v>18</v>
      </c>
      <c r="J600" t="s">
        <v>29</v>
      </c>
      <c r="K600">
        <v>6</v>
      </c>
      <c r="L600">
        <v>1</v>
      </c>
      <c r="M600" s="2">
        <f t="shared" si="9"/>
        <v>21092.94</v>
      </c>
      <c r="N600" s="2" t="str">
        <f>IF(Tabla1[[#This Row],[Aprobación_Veterinaria]]=1,"APROBADO","NO APROBADO")</f>
        <v>NO APROBADO</v>
      </c>
      <c r="O600" t="str">
        <f>IF(Tabla1[[#This Row],[Repite compra?]]=1,"REPITE","NO REPITE")</f>
        <v>REPITE</v>
      </c>
      <c r="P600" t="str">
        <f>IF(Tabla1[[#This Row],[rating_segun encuesta a Consumidor]]&lt;5,"Regular",IF(Tabla1[[#This Row],[rating_segun encuesta a Consumidor]]&gt;8,"Excelente","Bueno"))</f>
        <v>Bueno</v>
      </c>
    </row>
    <row r="601" spans="1:16" x14ac:dyDescent="0.35">
      <c r="A601" s="1">
        <v>44185</v>
      </c>
      <c r="B601">
        <v>4892</v>
      </c>
      <c r="C601" t="s">
        <v>20</v>
      </c>
      <c r="D601">
        <v>224</v>
      </c>
      <c r="E601">
        <v>15.84</v>
      </c>
      <c r="F601">
        <v>1</v>
      </c>
      <c r="G601" t="s">
        <v>40</v>
      </c>
      <c r="H601" t="s">
        <v>38</v>
      </c>
      <c r="I601" t="s">
        <v>18</v>
      </c>
      <c r="J601" t="s">
        <v>29</v>
      </c>
      <c r="K601">
        <v>6</v>
      </c>
      <c r="L601">
        <v>0</v>
      </c>
      <c r="M601" s="2">
        <f t="shared" si="9"/>
        <v>3548.16</v>
      </c>
      <c r="N601" s="2" t="str">
        <f>IF(Tabla1[[#This Row],[Aprobación_Veterinaria]]=1,"APROBADO","NO APROBADO")</f>
        <v>APROBADO</v>
      </c>
      <c r="O601" t="str">
        <f>IF(Tabla1[[#This Row],[Repite compra?]]=1,"REPITE","NO REPITE")</f>
        <v>NO REPITE</v>
      </c>
      <c r="P601" t="str">
        <f>IF(Tabla1[[#This Row],[rating_segun encuesta a Consumidor]]&lt;5,"Regular",IF(Tabla1[[#This Row],[rating_segun encuesta a Consumidor]]&gt;8,"Excelente","Bueno"))</f>
        <v>Bueno</v>
      </c>
    </row>
    <row r="602" spans="1:16" x14ac:dyDescent="0.35">
      <c r="A602" s="1">
        <v>43952</v>
      </c>
      <c r="B602">
        <v>4449</v>
      </c>
      <c r="C602" t="s">
        <v>51</v>
      </c>
      <c r="D602">
        <v>38</v>
      </c>
      <c r="E602">
        <v>122.532</v>
      </c>
      <c r="F602">
        <v>0</v>
      </c>
      <c r="G602" t="s">
        <v>16</v>
      </c>
      <c r="H602" t="s">
        <v>22</v>
      </c>
      <c r="I602" t="s">
        <v>28</v>
      </c>
      <c r="J602" t="s">
        <v>23</v>
      </c>
      <c r="K602">
        <v>5</v>
      </c>
      <c r="L602">
        <v>0</v>
      </c>
      <c r="M602" s="2">
        <f t="shared" si="9"/>
        <v>4656.2159999999994</v>
      </c>
      <c r="N602" s="2" t="str">
        <f>IF(Tabla1[[#This Row],[Aprobación_Veterinaria]]=1,"APROBADO","NO APROBADO")</f>
        <v>NO APROBADO</v>
      </c>
      <c r="O602" t="str">
        <f>IF(Tabla1[[#This Row],[Repite compra?]]=1,"REPITE","NO REPITE")</f>
        <v>NO REPITE</v>
      </c>
      <c r="P602" t="str">
        <f>IF(Tabla1[[#This Row],[rating_segun encuesta a Consumidor]]&lt;5,"Regular",IF(Tabla1[[#This Row],[rating_segun encuesta a Consumidor]]&gt;8,"Excelente","Bueno"))</f>
        <v>Bueno</v>
      </c>
    </row>
    <row r="603" spans="1:16" x14ac:dyDescent="0.35">
      <c r="A603" s="1">
        <v>43971</v>
      </c>
      <c r="B603">
        <v>4612</v>
      </c>
      <c r="C603" t="s">
        <v>39</v>
      </c>
      <c r="D603">
        <v>139</v>
      </c>
      <c r="E603">
        <v>191.88</v>
      </c>
      <c r="F603">
        <v>0</v>
      </c>
      <c r="G603" t="s">
        <v>21</v>
      </c>
      <c r="H603" t="s">
        <v>22</v>
      </c>
      <c r="I603" t="s">
        <v>18</v>
      </c>
      <c r="J603" t="s">
        <v>29</v>
      </c>
      <c r="K603">
        <v>10</v>
      </c>
      <c r="L603">
        <v>0</v>
      </c>
      <c r="M603" s="2">
        <f t="shared" si="9"/>
        <v>26671.32</v>
      </c>
      <c r="N603" s="2" t="str">
        <f>IF(Tabla1[[#This Row],[Aprobación_Veterinaria]]=1,"APROBADO","NO APROBADO")</f>
        <v>NO APROBADO</v>
      </c>
      <c r="O603" t="str">
        <f>IF(Tabla1[[#This Row],[Repite compra?]]=1,"REPITE","NO REPITE")</f>
        <v>NO REPITE</v>
      </c>
      <c r="P603" t="str">
        <f>IF(Tabla1[[#This Row],[rating_segun encuesta a Consumidor]]&lt;5,"Regular",IF(Tabla1[[#This Row],[rating_segun encuesta a Consumidor]]&gt;8,"Excelente","Bueno"))</f>
        <v>Excelente</v>
      </c>
    </row>
    <row r="604" spans="1:16" x14ac:dyDescent="0.35">
      <c r="A604" s="1">
        <v>43845</v>
      </c>
      <c r="B604">
        <v>4972</v>
      </c>
      <c r="C604" t="s">
        <v>26</v>
      </c>
      <c r="D604">
        <v>85</v>
      </c>
      <c r="E604">
        <v>78.3</v>
      </c>
      <c r="F604">
        <v>0</v>
      </c>
      <c r="G604" t="s">
        <v>24</v>
      </c>
      <c r="H604" t="s">
        <v>38</v>
      </c>
      <c r="I604" t="s">
        <v>18</v>
      </c>
      <c r="J604" t="s">
        <v>19</v>
      </c>
      <c r="K604">
        <v>6</v>
      </c>
      <c r="L604">
        <v>0</v>
      </c>
      <c r="M604" s="2">
        <f t="shared" si="9"/>
        <v>6655.5</v>
      </c>
      <c r="N604" s="2" t="str">
        <f>IF(Tabla1[[#This Row],[Aprobación_Veterinaria]]=1,"APROBADO","NO APROBADO")</f>
        <v>NO APROBADO</v>
      </c>
      <c r="O604" t="str">
        <f>IF(Tabla1[[#This Row],[Repite compra?]]=1,"REPITE","NO REPITE")</f>
        <v>NO REPITE</v>
      </c>
      <c r="P604" t="str">
        <f>IF(Tabla1[[#This Row],[rating_segun encuesta a Consumidor]]&lt;5,"Regular",IF(Tabla1[[#This Row],[rating_segun encuesta a Consumidor]]&gt;8,"Excelente","Bueno"))</f>
        <v>Bueno</v>
      </c>
    </row>
    <row r="605" spans="1:16" x14ac:dyDescent="0.35">
      <c r="A605" s="1">
        <v>44190</v>
      </c>
      <c r="B605">
        <v>4784</v>
      </c>
      <c r="C605" t="s">
        <v>20</v>
      </c>
      <c r="D605">
        <v>148</v>
      </c>
      <c r="E605">
        <v>164.53200000000001</v>
      </c>
      <c r="F605">
        <v>1</v>
      </c>
      <c r="G605" t="s">
        <v>27</v>
      </c>
      <c r="H605" t="s">
        <v>54</v>
      </c>
      <c r="I605" t="s">
        <v>18</v>
      </c>
      <c r="J605" t="s">
        <v>29</v>
      </c>
      <c r="K605">
        <v>7</v>
      </c>
      <c r="L605">
        <v>1</v>
      </c>
      <c r="M605" s="2">
        <f t="shared" si="9"/>
        <v>24350.736000000001</v>
      </c>
      <c r="N605" s="2" t="str">
        <f>IF(Tabla1[[#This Row],[Aprobación_Veterinaria]]=1,"APROBADO","NO APROBADO")</f>
        <v>APROBADO</v>
      </c>
      <c r="O605" t="str">
        <f>IF(Tabla1[[#This Row],[Repite compra?]]=1,"REPITE","NO REPITE")</f>
        <v>REPITE</v>
      </c>
      <c r="P605" t="str">
        <f>IF(Tabla1[[#This Row],[rating_segun encuesta a Consumidor]]&lt;5,"Regular",IF(Tabla1[[#This Row],[rating_segun encuesta a Consumidor]]&gt;8,"Excelente","Bueno"))</f>
        <v>Bueno</v>
      </c>
    </row>
    <row r="606" spans="1:16" x14ac:dyDescent="0.35">
      <c r="A606" s="1">
        <v>44193</v>
      </c>
      <c r="B606">
        <v>4272</v>
      </c>
      <c r="C606" t="s">
        <v>30</v>
      </c>
      <c r="D606">
        <v>191</v>
      </c>
      <c r="E606">
        <v>150.52799999999999</v>
      </c>
      <c r="F606">
        <v>1</v>
      </c>
      <c r="G606" t="s">
        <v>31</v>
      </c>
      <c r="H606" t="s">
        <v>22</v>
      </c>
      <c r="I606" t="s">
        <v>18</v>
      </c>
      <c r="J606" t="s">
        <v>49</v>
      </c>
      <c r="K606">
        <v>5</v>
      </c>
      <c r="L606">
        <v>0</v>
      </c>
      <c r="M606" s="2">
        <f t="shared" si="9"/>
        <v>28750.847999999998</v>
      </c>
      <c r="N606" s="2" t="str">
        <f>IF(Tabla1[[#This Row],[Aprobación_Veterinaria]]=1,"APROBADO","NO APROBADO")</f>
        <v>APROBADO</v>
      </c>
      <c r="O606" t="str">
        <f>IF(Tabla1[[#This Row],[Repite compra?]]=1,"REPITE","NO REPITE")</f>
        <v>NO REPITE</v>
      </c>
      <c r="P606" t="str">
        <f>IF(Tabla1[[#This Row],[rating_segun encuesta a Consumidor]]&lt;5,"Regular",IF(Tabla1[[#This Row],[rating_segun encuesta a Consumidor]]&gt;8,"Excelente","Bueno"))</f>
        <v>Bueno</v>
      </c>
    </row>
    <row r="607" spans="1:16" x14ac:dyDescent="0.35">
      <c r="A607" s="1">
        <v>44169</v>
      </c>
      <c r="B607">
        <v>4306</v>
      </c>
      <c r="C607" t="s">
        <v>51</v>
      </c>
      <c r="D607">
        <v>224</v>
      </c>
      <c r="E607">
        <v>129.756</v>
      </c>
      <c r="F607">
        <v>1</v>
      </c>
      <c r="G607" t="s">
        <v>33</v>
      </c>
      <c r="H607" t="s">
        <v>22</v>
      </c>
      <c r="I607" t="s">
        <v>45</v>
      </c>
      <c r="J607" t="s">
        <v>53</v>
      </c>
      <c r="K607">
        <v>8</v>
      </c>
      <c r="L607">
        <v>1</v>
      </c>
      <c r="M607" s="2">
        <f t="shared" si="9"/>
        <v>29065.344000000001</v>
      </c>
      <c r="N607" s="2" t="str">
        <f>IF(Tabla1[[#This Row],[Aprobación_Veterinaria]]=1,"APROBADO","NO APROBADO")</f>
        <v>APROBADO</v>
      </c>
      <c r="O607" t="str">
        <f>IF(Tabla1[[#This Row],[Repite compra?]]=1,"REPITE","NO REPITE")</f>
        <v>REPITE</v>
      </c>
      <c r="P607" t="str">
        <f>IF(Tabla1[[#This Row],[rating_segun encuesta a Consumidor]]&lt;5,"Regular",IF(Tabla1[[#This Row],[rating_segun encuesta a Consumidor]]&gt;8,"Excelente","Bueno"))</f>
        <v>Bueno</v>
      </c>
    </row>
    <row r="608" spans="1:16" x14ac:dyDescent="0.35">
      <c r="A608" s="1">
        <v>43859</v>
      </c>
      <c r="B608">
        <v>4193</v>
      </c>
      <c r="C608" t="s">
        <v>20</v>
      </c>
      <c r="D608">
        <v>51</v>
      </c>
      <c r="E608">
        <v>225.58799999999999</v>
      </c>
      <c r="F608">
        <v>1</v>
      </c>
      <c r="G608" t="s">
        <v>34</v>
      </c>
      <c r="H608" t="s">
        <v>22</v>
      </c>
      <c r="I608" t="s">
        <v>41</v>
      </c>
      <c r="J608" t="s">
        <v>19</v>
      </c>
      <c r="K608">
        <v>6</v>
      </c>
      <c r="L608">
        <v>1</v>
      </c>
      <c r="M608" s="2">
        <f t="shared" si="9"/>
        <v>11504.987999999999</v>
      </c>
      <c r="N608" s="2" t="str">
        <f>IF(Tabla1[[#This Row],[Aprobación_Veterinaria]]=1,"APROBADO","NO APROBADO")</f>
        <v>APROBADO</v>
      </c>
      <c r="O608" t="str">
        <f>IF(Tabla1[[#This Row],[Repite compra?]]=1,"REPITE","NO REPITE")</f>
        <v>REPITE</v>
      </c>
      <c r="P608" t="str">
        <f>IF(Tabla1[[#This Row],[rating_segun encuesta a Consumidor]]&lt;5,"Regular",IF(Tabla1[[#This Row],[rating_segun encuesta a Consumidor]]&gt;8,"Excelente","Bueno"))</f>
        <v>Bueno</v>
      </c>
    </row>
    <row r="609" spans="1:16" x14ac:dyDescent="0.35">
      <c r="A609" s="1">
        <v>43908</v>
      </c>
      <c r="B609">
        <v>4893</v>
      </c>
      <c r="C609" t="s">
        <v>15</v>
      </c>
      <c r="D609">
        <v>101</v>
      </c>
      <c r="E609">
        <v>128.244</v>
      </c>
      <c r="F609">
        <v>0</v>
      </c>
      <c r="G609" t="s">
        <v>36</v>
      </c>
      <c r="H609" t="s">
        <v>50</v>
      </c>
      <c r="I609" t="s">
        <v>41</v>
      </c>
      <c r="J609" t="s">
        <v>23</v>
      </c>
      <c r="K609">
        <v>6</v>
      </c>
      <c r="L609">
        <v>0</v>
      </c>
      <c r="M609" s="2">
        <f t="shared" si="9"/>
        <v>12952.644</v>
      </c>
      <c r="N609" s="2" t="str">
        <f>IF(Tabla1[[#This Row],[Aprobación_Veterinaria]]=1,"APROBADO","NO APROBADO")</f>
        <v>NO APROBADO</v>
      </c>
      <c r="O609" t="str">
        <f>IF(Tabla1[[#This Row],[Repite compra?]]=1,"REPITE","NO REPITE")</f>
        <v>NO REPITE</v>
      </c>
      <c r="P609" t="str">
        <f>IF(Tabla1[[#This Row],[rating_segun encuesta a Consumidor]]&lt;5,"Regular",IF(Tabla1[[#This Row],[rating_segun encuesta a Consumidor]]&gt;8,"Excelente","Bueno"))</f>
        <v>Bueno</v>
      </c>
    </row>
    <row r="610" spans="1:16" x14ac:dyDescent="0.35">
      <c r="A610" s="1">
        <v>44148</v>
      </c>
      <c r="B610">
        <v>4658</v>
      </c>
      <c r="C610" t="s">
        <v>51</v>
      </c>
      <c r="D610">
        <v>92</v>
      </c>
      <c r="E610">
        <v>163.524</v>
      </c>
      <c r="F610">
        <v>0</v>
      </c>
      <c r="G610" t="s">
        <v>37</v>
      </c>
      <c r="H610" t="s">
        <v>22</v>
      </c>
      <c r="I610" t="s">
        <v>41</v>
      </c>
      <c r="J610" t="s">
        <v>29</v>
      </c>
      <c r="K610">
        <v>10</v>
      </c>
      <c r="L610">
        <v>1</v>
      </c>
      <c r="M610" s="2">
        <f t="shared" si="9"/>
        <v>15044.208000000001</v>
      </c>
      <c r="N610" s="2" t="str">
        <f>IF(Tabla1[[#This Row],[Aprobación_Veterinaria]]=1,"APROBADO","NO APROBADO")</f>
        <v>NO APROBADO</v>
      </c>
      <c r="O610" t="str">
        <f>IF(Tabla1[[#This Row],[Repite compra?]]=1,"REPITE","NO REPITE")</f>
        <v>REPITE</v>
      </c>
      <c r="P610" t="str">
        <f>IF(Tabla1[[#This Row],[rating_segun encuesta a Consumidor]]&lt;5,"Regular",IF(Tabla1[[#This Row],[rating_segun encuesta a Consumidor]]&gt;8,"Excelente","Bueno"))</f>
        <v>Excelente</v>
      </c>
    </row>
    <row r="611" spans="1:16" x14ac:dyDescent="0.35">
      <c r="A611" s="1">
        <v>43928</v>
      </c>
      <c r="B611">
        <v>4251</v>
      </c>
      <c r="C611" t="s">
        <v>51</v>
      </c>
      <c r="D611">
        <v>67</v>
      </c>
      <c r="E611">
        <v>107.124</v>
      </c>
      <c r="F611">
        <v>0</v>
      </c>
      <c r="G611" t="s">
        <v>40</v>
      </c>
      <c r="H611" t="s">
        <v>22</v>
      </c>
      <c r="I611" t="s">
        <v>45</v>
      </c>
      <c r="J611" t="s">
        <v>23</v>
      </c>
      <c r="K611">
        <v>5</v>
      </c>
      <c r="L611">
        <v>0</v>
      </c>
      <c r="M611" s="2">
        <f t="shared" si="9"/>
        <v>7177.308</v>
      </c>
      <c r="N611" s="2" t="str">
        <f>IF(Tabla1[[#This Row],[Aprobación_Veterinaria]]=1,"APROBADO","NO APROBADO")</f>
        <v>NO APROBADO</v>
      </c>
      <c r="O611" t="str">
        <f>IF(Tabla1[[#This Row],[Repite compra?]]=1,"REPITE","NO REPITE")</f>
        <v>NO REPITE</v>
      </c>
      <c r="P611" t="str">
        <f>IF(Tabla1[[#This Row],[rating_segun encuesta a Consumidor]]&lt;5,"Regular",IF(Tabla1[[#This Row],[rating_segun encuesta a Consumidor]]&gt;8,"Excelente","Bueno"))</f>
        <v>Bueno</v>
      </c>
    </row>
    <row r="612" spans="1:16" x14ac:dyDescent="0.35">
      <c r="A612" s="1">
        <v>43839</v>
      </c>
      <c r="B612">
        <v>4350</v>
      </c>
      <c r="C612" t="s">
        <v>51</v>
      </c>
      <c r="D612">
        <v>60</v>
      </c>
      <c r="E612">
        <v>100.464</v>
      </c>
      <c r="F612">
        <v>1</v>
      </c>
      <c r="G612" t="s">
        <v>16</v>
      </c>
      <c r="H612" t="s">
        <v>22</v>
      </c>
      <c r="I612" t="s">
        <v>35</v>
      </c>
      <c r="J612" t="s">
        <v>29</v>
      </c>
      <c r="K612">
        <v>2</v>
      </c>
      <c r="L612">
        <v>0</v>
      </c>
      <c r="M612" s="2">
        <f t="shared" si="9"/>
        <v>6027.84</v>
      </c>
      <c r="N612" s="2" t="str">
        <f>IF(Tabla1[[#This Row],[Aprobación_Veterinaria]]=1,"APROBADO","NO APROBADO")</f>
        <v>APROBADO</v>
      </c>
      <c r="O612" t="str">
        <f>IF(Tabla1[[#This Row],[Repite compra?]]=1,"REPITE","NO REPITE")</f>
        <v>NO REPITE</v>
      </c>
      <c r="P612" t="str">
        <f>IF(Tabla1[[#This Row],[rating_segun encuesta a Consumidor]]&lt;5,"Regular",IF(Tabla1[[#This Row],[rating_segun encuesta a Consumidor]]&gt;8,"Excelente","Bueno"))</f>
        <v>Regular</v>
      </c>
    </row>
    <row r="613" spans="1:16" x14ac:dyDescent="0.35">
      <c r="A613" s="1">
        <v>43866</v>
      </c>
      <c r="B613">
        <v>4462</v>
      </c>
      <c r="C613" t="s">
        <v>43</v>
      </c>
      <c r="D613">
        <v>27</v>
      </c>
      <c r="E613">
        <v>61.392000000000003</v>
      </c>
      <c r="F613">
        <v>1</v>
      </c>
      <c r="G613" t="s">
        <v>21</v>
      </c>
      <c r="H613" t="s">
        <v>22</v>
      </c>
      <c r="I613" t="s">
        <v>18</v>
      </c>
      <c r="J613" t="s">
        <v>29</v>
      </c>
      <c r="K613">
        <v>3</v>
      </c>
      <c r="L613">
        <v>1</v>
      </c>
      <c r="M613" s="2">
        <f t="shared" si="9"/>
        <v>1657.5840000000001</v>
      </c>
      <c r="N613" s="2" t="str">
        <f>IF(Tabla1[[#This Row],[Aprobación_Veterinaria]]=1,"APROBADO","NO APROBADO")</f>
        <v>APROBADO</v>
      </c>
      <c r="O613" t="str">
        <f>IF(Tabla1[[#This Row],[Repite compra?]]=1,"REPITE","NO REPITE")</f>
        <v>REPITE</v>
      </c>
      <c r="P613" t="str">
        <f>IF(Tabla1[[#This Row],[rating_segun encuesta a Consumidor]]&lt;5,"Regular",IF(Tabla1[[#This Row],[rating_segun encuesta a Consumidor]]&gt;8,"Excelente","Bueno"))</f>
        <v>Regular</v>
      </c>
    </row>
    <row r="614" spans="1:16" x14ac:dyDescent="0.35">
      <c r="A614" s="1">
        <v>44105</v>
      </c>
      <c r="B614">
        <v>4367</v>
      </c>
      <c r="C614" t="s">
        <v>32</v>
      </c>
      <c r="D614">
        <v>62</v>
      </c>
      <c r="E614">
        <v>18.708000000000002</v>
      </c>
      <c r="F614">
        <v>1</v>
      </c>
      <c r="G614" t="s">
        <v>24</v>
      </c>
      <c r="H614" t="s">
        <v>22</v>
      </c>
      <c r="I614" t="s">
        <v>18</v>
      </c>
      <c r="J614" t="s">
        <v>23</v>
      </c>
      <c r="K614">
        <v>7</v>
      </c>
      <c r="L614">
        <v>0</v>
      </c>
      <c r="M614" s="2">
        <f t="shared" si="9"/>
        <v>1159.8960000000002</v>
      </c>
      <c r="N614" s="2" t="str">
        <f>IF(Tabla1[[#This Row],[Aprobación_Veterinaria]]=1,"APROBADO","NO APROBADO")</f>
        <v>APROBADO</v>
      </c>
      <c r="O614" t="str">
        <f>IF(Tabla1[[#This Row],[Repite compra?]]=1,"REPITE","NO REPITE")</f>
        <v>NO REPITE</v>
      </c>
      <c r="P614" t="str">
        <f>IF(Tabla1[[#This Row],[rating_segun encuesta a Consumidor]]&lt;5,"Regular",IF(Tabla1[[#This Row],[rating_segun encuesta a Consumidor]]&gt;8,"Excelente","Bueno"))</f>
        <v>Bueno</v>
      </c>
    </row>
    <row r="615" spans="1:16" x14ac:dyDescent="0.35">
      <c r="A615" s="1">
        <v>44124</v>
      </c>
      <c r="B615">
        <v>4229</v>
      </c>
      <c r="C615" t="s">
        <v>51</v>
      </c>
      <c r="D615">
        <v>76</v>
      </c>
      <c r="E615">
        <v>129.9</v>
      </c>
      <c r="F615">
        <v>0</v>
      </c>
      <c r="G615" t="s">
        <v>27</v>
      </c>
      <c r="H615" t="s">
        <v>22</v>
      </c>
      <c r="I615" t="s">
        <v>28</v>
      </c>
      <c r="J615" t="s">
        <v>19</v>
      </c>
      <c r="K615">
        <v>10</v>
      </c>
      <c r="L615">
        <v>0</v>
      </c>
      <c r="M615" s="2">
        <f t="shared" si="9"/>
        <v>9872.4</v>
      </c>
      <c r="N615" s="2" t="str">
        <f>IF(Tabla1[[#This Row],[Aprobación_Veterinaria]]=1,"APROBADO","NO APROBADO")</f>
        <v>NO APROBADO</v>
      </c>
      <c r="O615" t="str">
        <f>IF(Tabla1[[#This Row],[Repite compra?]]=1,"REPITE","NO REPITE")</f>
        <v>NO REPITE</v>
      </c>
      <c r="P615" t="str">
        <f>IF(Tabla1[[#This Row],[rating_segun encuesta a Consumidor]]&lt;5,"Regular",IF(Tabla1[[#This Row],[rating_segun encuesta a Consumidor]]&gt;8,"Excelente","Bueno"))</f>
        <v>Excelente</v>
      </c>
    </row>
    <row r="616" spans="1:16" x14ac:dyDescent="0.35">
      <c r="A616" s="1">
        <v>43891</v>
      </c>
      <c r="B616">
        <v>4905</v>
      </c>
      <c r="C616" t="s">
        <v>15</v>
      </c>
      <c r="D616">
        <v>177</v>
      </c>
      <c r="E616">
        <v>173.04</v>
      </c>
      <c r="F616">
        <v>0</v>
      </c>
      <c r="G616" t="s">
        <v>31</v>
      </c>
      <c r="H616" t="s">
        <v>44</v>
      </c>
      <c r="I616" t="s">
        <v>41</v>
      </c>
      <c r="J616" t="s">
        <v>23</v>
      </c>
      <c r="K616">
        <v>6</v>
      </c>
      <c r="L616">
        <v>0</v>
      </c>
      <c r="M616" s="2">
        <f t="shared" si="9"/>
        <v>30628.079999999998</v>
      </c>
      <c r="N616" s="2" t="str">
        <f>IF(Tabla1[[#This Row],[Aprobación_Veterinaria]]=1,"APROBADO","NO APROBADO")</f>
        <v>NO APROBADO</v>
      </c>
      <c r="O616" t="str">
        <f>IF(Tabla1[[#This Row],[Repite compra?]]=1,"REPITE","NO REPITE")</f>
        <v>NO REPITE</v>
      </c>
      <c r="P616" t="str">
        <f>IF(Tabla1[[#This Row],[rating_segun encuesta a Consumidor]]&lt;5,"Regular",IF(Tabla1[[#This Row],[rating_segun encuesta a Consumidor]]&gt;8,"Excelente","Bueno"))</f>
        <v>Bueno</v>
      </c>
    </row>
    <row r="617" spans="1:16" x14ac:dyDescent="0.35">
      <c r="A617" s="1">
        <v>43862</v>
      </c>
      <c r="B617">
        <v>4805</v>
      </c>
      <c r="C617" t="s">
        <v>20</v>
      </c>
      <c r="D617">
        <v>25</v>
      </c>
      <c r="E617">
        <v>110.196</v>
      </c>
      <c r="F617">
        <v>0</v>
      </c>
      <c r="G617" t="s">
        <v>33</v>
      </c>
      <c r="H617" t="s">
        <v>44</v>
      </c>
      <c r="I617" t="s">
        <v>41</v>
      </c>
      <c r="J617" t="s">
        <v>23</v>
      </c>
      <c r="K617">
        <v>2</v>
      </c>
      <c r="L617">
        <v>1</v>
      </c>
      <c r="M617" s="2">
        <f t="shared" si="9"/>
        <v>2754.9</v>
      </c>
      <c r="N617" s="2" t="str">
        <f>IF(Tabla1[[#This Row],[Aprobación_Veterinaria]]=1,"APROBADO","NO APROBADO")</f>
        <v>NO APROBADO</v>
      </c>
      <c r="O617" t="str">
        <f>IF(Tabla1[[#This Row],[Repite compra?]]=1,"REPITE","NO REPITE")</f>
        <v>REPITE</v>
      </c>
      <c r="P617" t="str">
        <f>IF(Tabla1[[#This Row],[rating_segun encuesta a Consumidor]]&lt;5,"Regular",IF(Tabla1[[#This Row],[rating_segun encuesta a Consumidor]]&gt;8,"Excelente","Bueno"))</f>
        <v>Regular</v>
      </c>
    </row>
    <row r="618" spans="1:16" x14ac:dyDescent="0.35">
      <c r="A618" s="1">
        <v>44126</v>
      </c>
      <c r="B618">
        <v>4686</v>
      </c>
      <c r="C618" t="s">
        <v>43</v>
      </c>
      <c r="D618">
        <v>181</v>
      </c>
      <c r="E618">
        <v>100.116</v>
      </c>
      <c r="F618">
        <v>1</v>
      </c>
      <c r="G618" t="s">
        <v>34</v>
      </c>
      <c r="H618" t="s">
        <v>48</v>
      </c>
      <c r="I618" t="s">
        <v>45</v>
      </c>
      <c r="J618" t="s">
        <v>29</v>
      </c>
      <c r="K618">
        <v>10</v>
      </c>
      <c r="L618">
        <v>1</v>
      </c>
      <c r="M618" s="2">
        <f t="shared" si="9"/>
        <v>18120.995999999999</v>
      </c>
      <c r="N618" s="2" t="str">
        <f>IF(Tabla1[[#This Row],[Aprobación_Veterinaria]]=1,"APROBADO","NO APROBADO")</f>
        <v>APROBADO</v>
      </c>
      <c r="O618" t="str">
        <f>IF(Tabla1[[#This Row],[Repite compra?]]=1,"REPITE","NO REPITE")</f>
        <v>REPITE</v>
      </c>
      <c r="P618" t="str">
        <f>IF(Tabla1[[#This Row],[rating_segun encuesta a Consumidor]]&lt;5,"Regular",IF(Tabla1[[#This Row],[rating_segun encuesta a Consumidor]]&gt;8,"Excelente","Bueno"))</f>
        <v>Excelente</v>
      </c>
    </row>
    <row r="619" spans="1:16" x14ac:dyDescent="0.35">
      <c r="A619" s="1">
        <v>44083</v>
      </c>
      <c r="B619">
        <v>4497</v>
      </c>
      <c r="C619" t="s">
        <v>15</v>
      </c>
      <c r="D619">
        <v>186</v>
      </c>
      <c r="E619">
        <v>58.428000000000004</v>
      </c>
      <c r="F619">
        <v>1</v>
      </c>
      <c r="G619" t="s">
        <v>36</v>
      </c>
      <c r="H619" t="s">
        <v>22</v>
      </c>
      <c r="I619" t="s">
        <v>18</v>
      </c>
      <c r="J619" t="s">
        <v>23</v>
      </c>
      <c r="K619">
        <v>7</v>
      </c>
      <c r="L619">
        <v>0</v>
      </c>
      <c r="M619" s="2">
        <f t="shared" si="9"/>
        <v>10867.608</v>
      </c>
      <c r="N619" s="2" t="str">
        <f>IF(Tabla1[[#This Row],[Aprobación_Veterinaria]]=1,"APROBADO","NO APROBADO")</f>
        <v>APROBADO</v>
      </c>
      <c r="O619" t="str">
        <f>IF(Tabla1[[#This Row],[Repite compra?]]=1,"REPITE","NO REPITE")</f>
        <v>NO REPITE</v>
      </c>
      <c r="P619" t="str">
        <f>IF(Tabla1[[#This Row],[rating_segun encuesta a Consumidor]]&lt;5,"Regular",IF(Tabla1[[#This Row],[rating_segun encuesta a Consumidor]]&gt;8,"Excelente","Bueno"))</f>
        <v>Bueno</v>
      </c>
    </row>
    <row r="620" spans="1:16" x14ac:dyDescent="0.35">
      <c r="A620" s="1">
        <v>44079</v>
      </c>
      <c r="B620">
        <v>4692</v>
      </c>
      <c r="C620" t="s">
        <v>43</v>
      </c>
      <c r="D620">
        <v>119</v>
      </c>
      <c r="E620">
        <v>173.50800000000001</v>
      </c>
      <c r="F620">
        <v>0</v>
      </c>
      <c r="G620" t="s">
        <v>37</v>
      </c>
      <c r="H620" t="s">
        <v>38</v>
      </c>
      <c r="I620" t="s">
        <v>18</v>
      </c>
      <c r="J620" t="s">
        <v>29</v>
      </c>
      <c r="K620">
        <v>10</v>
      </c>
      <c r="L620">
        <v>0</v>
      </c>
      <c r="M620" s="2">
        <f t="shared" si="9"/>
        <v>20647.452000000001</v>
      </c>
      <c r="N620" s="2" t="str">
        <f>IF(Tabla1[[#This Row],[Aprobación_Veterinaria]]=1,"APROBADO","NO APROBADO")</f>
        <v>NO APROBADO</v>
      </c>
      <c r="O620" t="str">
        <f>IF(Tabla1[[#This Row],[Repite compra?]]=1,"REPITE","NO REPITE")</f>
        <v>NO REPITE</v>
      </c>
      <c r="P620" t="str">
        <f>IF(Tabla1[[#This Row],[rating_segun encuesta a Consumidor]]&lt;5,"Regular",IF(Tabla1[[#This Row],[rating_segun encuesta a Consumidor]]&gt;8,"Excelente","Bueno"))</f>
        <v>Excelente</v>
      </c>
    </row>
    <row r="621" spans="1:16" x14ac:dyDescent="0.35">
      <c r="A621" s="1">
        <v>43949</v>
      </c>
      <c r="B621">
        <v>4635</v>
      </c>
      <c r="C621" t="s">
        <v>30</v>
      </c>
      <c r="D621">
        <v>51</v>
      </c>
      <c r="E621">
        <v>99.864000000000004</v>
      </c>
      <c r="F621">
        <v>0</v>
      </c>
      <c r="G621" t="s">
        <v>40</v>
      </c>
      <c r="H621" t="s">
        <v>22</v>
      </c>
      <c r="I621" t="s">
        <v>35</v>
      </c>
      <c r="J621" t="s">
        <v>23</v>
      </c>
      <c r="K621">
        <v>10</v>
      </c>
      <c r="L621">
        <v>1</v>
      </c>
      <c r="M621" s="2">
        <f t="shared" si="9"/>
        <v>5093.0640000000003</v>
      </c>
      <c r="N621" s="2" t="str">
        <f>IF(Tabla1[[#This Row],[Aprobación_Veterinaria]]=1,"APROBADO","NO APROBADO")</f>
        <v>NO APROBADO</v>
      </c>
      <c r="O621" t="str">
        <f>IF(Tabla1[[#This Row],[Repite compra?]]=1,"REPITE","NO REPITE")</f>
        <v>REPITE</v>
      </c>
      <c r="P621" t="str">
        <f>IF(Tabla1[[#This Row],[rating_segun encuesta a Consumidor]]&lt;5,"Regular",IF(Tabla1[[#This Row],[rating_segun encuesta a Consumidor]]&gt;8,"Excelente","Bueno"))</f>
        <v>Excelente</v>
      </c>
    </row>
    <row r="622" spans="1:16" x14ac:dyDescent="0.35">
      <c r="A622" s="1">
        <v>43850</v>
      </c>
      <c r="B622">
        <v>4308</v>
      </c>
      <c r="C622" t="s">
        <v>43</v>
      </c>
      <c r="D622">
        <v>42</v>
      </c>
      <c r="E622">
        <v>177.52799999999999</v>
      </c>
      <c r="F622">
        <v>1</v>
      </c>
      <c r="G622" t="s">
        <v>16</v>
      </c>
      <c r="H622" t="s">
        <v>22</v>
      </c>
      <c r="I622" t="s">
        <v>41</v>
      </c>
      <c r="J622" t="s">
        <v>49</v>
      </c>
      <c r="K622">
        <v>10</v>
      </c>
      <c r="L622">
        <v>0</v>
      </c>
      <c r="M622" s="2">
        <f t="shared" si="9"/>
        <v>7456.1759999999995</v>
      </c>
      <c r="N622" s="2" t="str">
        <f>IF(Tabla1[[#This Row],[Aprobación_Veterinaria]]=1,"APROBADO","NO APROBADO")</f>
        <v>APROBADO</v>
      </c>
      <c r="O622" t="str">
        <f>IF(Tabla1[[#This Row],[Repite compra?]]=1,"REPITE","NO REPITE")</f>
        <v>NO REPITE</v>
      </c>
      <c r="P622" t="str">
        <f>IF(Tabla1[[#This Row],[rating_segun encuesta a Consumidor]]&lt;5,"Regular",IF(Tabla1[[#This Row],[rating_segun encuesta a Consumidor]]&gt;8,"Excelente","Bueno"))</f>
        <v>Excelente</v>
      </c>
    </row>
    <row r="623" spans="1:16" x14ac:dyDescent="0.35">
      <c r="A623" s="1">
        <v>44018</v>
      </c>
      <c r="B623">
        <v>4573</v>
      </c>
      <c r="C623" t="s">
        <v>26</v>
      </c>
      <c r="D623">
        <v>27</v>
      </c>
      <c r="E623">
        <v>146.64000000000001</v>
      </c>
      <c r="F623">
        <v>0</v>
      </c>
      <c r="G623" t="s">
        <v>21</v>
      </c>
      <c r="H623" t="s">
        <v>22</v>
      </c>
      <c r="I623" t="s">
        <v>41</v>
      </c>
      <c r="J623" t="s">
        <v>23</v>
      </c>
      <c r="K623">
        <v>10</v>
      </c>
      <c r="L623">
        <v>0</v>
      </c>
      <c r="M623" s="2">
        <f t="shared" si="9"/>
        <v>3959.28</v>
      </c>
      <c r="N623" s="2" t="str">
        <f>IF(Tabla1[[#This Row],[Aprobación_Veterinaria]]=1,"APROBADO","NO APROBADO")</f>
        <v>NO APROBADO</v>
      </c>
      <c r="O623" t="str">
        <f>IF(Tabla1[[#This Row],[Repite compra?]]=1,"REPITE","NO REPITE")</f>
        <v>NO REPITE</v>
      </c>
      <c r="P623" t="str">
        <f>IF(Tabla1[[#This Row],[rating_segun encuesta a Consumidor]]&lt;5,"Regular",IF(Tabla1[[#This Row],[rating_segun encuesta a Consumidor]]&gt;8,"Excelente","Bueno"))</f>
        <v>Excelente</v>
      </c>
    </row>
    <row r="624" spans="1:16" x14ac:dyDescent="0.35">
      <c r="A624" s="1">
        <v>44089</v>
      </c>
      <c r="B624">
        <v>4336</v>
      </c>
      <c r="C624" t="s">
        <v>20</v>
      </c>
      <c r="D624">
        <v>6</v>
      </c>
      <c r="E624">
        <v>66.972000000000008</v>
      </c>
      <c r="F624">
        <v>0</v>
      </c>
      <c r="G624" t="s">
        <v>24</v>
      </c>
      <c r="H624" t="s">
        <v>22</v>
      </c>
      <c r="I624" t="s">
        <v>45</v>
      </c>
      <c r="J624" t="s">
        <v>29</v>
      </c>
      <c r="K624">
        <v>2</v>
      </c>
      <c r="L624">
        <v>1</v>
      </c>
      <c r="M624" s="2">
        <f t="shared" si="9"/>
        <v>401.83200000000005</v>
      </c>
      <c r="N624" s="2" t="str">
        <f>IF(Tabla1[[#This Row],[Aprobación_Veterinaria]]=1,"APROBADO","NO APROBADO")</f>
        <v>NO APROBADO</v>
      </c>
      <c r="O624" t="str">
        <f>IF(Tabla1[[#This Row],[Repite compra?]]=1,"REPITE","NO REPITE")</f>
        <v>REPITE</v>
      </c>
      <c r="P624" t="str">
        <f>IF(Tabla1[[#This Row],[rating_segun encuesta a Consumidor]]&lt;5,"Regular",IF(Tabla1[[#This Row],[rating_segun encuesta a Consumidor]]&gt;8,"Excelente","Bueno"))</f>
        <v>Regular</v>
      </c>
    </row>
    <row r="625" spans="1:16" x14ac:dyDescent="0.35">
      <c r="A625" s="1">
        <v>44183</v>
      </c>
      <c r="B625">
        <v>4843</v>
      </c>
      <c r="C625" t="s">
        <v>26</v>
      </c>
      <c r="D625">
        <v>130</v>
      </c>
      <c r="E625">
        <v>104.712</v>
      </c>
      <c r="F625">
        <v>1</v>
      </c>
      <c r="G625" t="s">
        <v>27</v>
      </c>
      <c r="H625" t="s">
        <v>50</v>
      </c>
      <c r="I625" t="s">
        <v>41</v>
      </c>
      <c r="J625" t="s">
        <v>23</v>
      </c>
      <c r="K625">
        <v>1</v>
      </c>
      <c r="L625">
        <v>1</v>
      </c>
      <c r="M625" s="2">
        <f t="shared" si="9"/>
        <v>13612.560000000001</v>
      </c>
      <c r="N625" s="2" t="str">
        <f>IF(Tabla1[[#This Row],[Aprobación_Veterinaria]]=1,"APROBADO","NO APROBADO")</f>
        <v>APROBADO</v>
      </c>
      <c r="O625" t="str">
        <f>IF(Tabla1[[#This Row],[Repite compra?]]=1,"REPITE","NO REPITE")</f>
        <v>REPITE</v>
      </c>
      <c r="P625" t="str">
        <f>IF(Tabla1[[#This Row],[rating_segun encuesta a Consumidor]]&lt;5,"Regular",IF(Tabla1[[#This Row],[rating_segun encuesta a Consumidor]]&gt;8,"Excelente","Bueno"))</f>
        <v>Regular</v>
      </c>
    </row>
    <row r="626" spans="1:16" x14ac:dyDescent="0.35">
      <c r="A626" s="1">
        <v>43932</v>
      </c>
      <c r="B626">
        <v>4510</v>
      </c>
      <c r="C626" t="s">
        <v>32</v>
      </c>
      <c r="D626">
        <v>211</v>
      </c>
      <c r="E626">
        <v>160.572</v>
      </c>
      <c r="F626">
        <v>0</v>
      </c>
      <c r="G626" t="s">
        <v>31</v>
      </c>
      <c r="H626" t="s">
        <v>22</v>
      </c>
      <c r="I626" t="s">
        <v>35</v>
      </c>
      <c r="J626" t="s">
        <v>29</v>
      </c>
      <c r="K626">
        <v>9</v>
      </c>
      <c r="L626">
        <v>1</v>
      </c>
      <c r="M626" s="2">
        <f t="shared" si="9"/>
        <v>33880.692000000003</v>
      </c>
      <c r="N626" s="2" t="str">
        <f>IF(Tabla1[[#This Row],[Aprobación_Veterinaria]]=1,"APROBADO","NO APROBADO")</f>
        <v>NO APROBADO</v>
      </c>
      <c r="O626" t="str">
        <f>IF(Tabla1[[#This Row],[Repite compra?]]=1,"REPITE","NO REPITE")</f>
        <v>REPITE</v>
      </c>
      <c r="P626" t="str">
        <f>IF(Tabla1[[#This Row],[rating_segun encuesta a Consumidor]]&lt;5,"Regular",IF(Tabla1[[#This Row],[rating_segun encuesta a Consumidor]]&gt;8,"Excelente","Bueno"))</f>
        <v>Excelente</v>
      </c>
    </row>
    <row r="627" spans="1:16" x14ac:dyDescent="0.35">
      <c r="A627" s="1">
        <v>43884</v>
      </c>
      <c r="B627">
        <v>4835</v>
      </c>
      <c r="C627" t="s">
        <v>20</v>
      </c>
      <c r="D627">
        <v>108</v>
      </c>
      <c r="E627">
        <v>215.70000000000002</v>
      </c>
      <c r="F627">
        <v>0</v>
      </c>
      <c r="G627" t="s">
        <v>33</v>
      </c>
      <c r="H627" t="s">
        <v>44</v>
      </c>
      <c r="I627" t="s">
        <v>41</v>
      </c>
      <c r="J627" t="s">
        <v>23</v>
      </c>
      <c r="K627">
        <v>2</v>
      </c>
      <c r="L627">
        <v>1</v>
      </c>
      <c r="M627" s="2">
        <f t="shared" si="9"/>
        <v>23295.600000000002</v>
      </c>
      <c r="N627" s="2" t="str">
        <f>IF(Tabla1[[#This Row],[Aprobación_Veterinaria]]=1,"APROBADO","NO APROBADO")</f>
        <v>NO APROBADO</v>
      </c>
      <c r="O627" t="str">
        <f>IF(Tabla1[[#This Row],[Repite compra?]]=1,"REPITE","NO REPITE")</f>
        <v>REPITE</v>
      </c>
      <c r="P627" t="str">
        <f>IF(Tabla1[[#This Row],[rating_segun encuesta a Consumidor]]&lt;5,"Regular",IF(Tabla1[[#This Row],[rating_segun encuesta a Consumidor]]&gt;8,"Excelente","Bueno"))</f>
        <v>Regular</v>
      </c>
    </row>
    <row r="628" spans="1:16" x14ac:dyDescent="0.35">
      <c r="A628" s="1">
        <v>44005</v>
      </c>
      <c r="B628">
        <v>4459</v>
      </c>
      <c r="C628" t="s">
        <v>30</v>
      </c>
      <c r="D628">
        <v>126</v>
      </c>
      <c r="E628">
        <v>47.76</v>
      </c>
      <c r="F628">
        <v>1</v>
      </c>
      <c r="G628" t="s">
        <v>34</v>
      </c>
      <c r="H628" t="s">
        <v>22</v>
      </c>
      <c r="I628" t="s">
        <v>28</v>
      </c>
      <c r="J628" t="s">
        <v>23</v>
      </c>
      <c r="K628">
        <v>6</v>
      </c>
      <c r="L628">
        <v>1</v>
      </c>
      <c r="M628" s="2">
        <f t="shared" si="9"/>
        <v>6017.7599999999993</v>
      </c>
      <c r="N628" s="2" t="str">
        <f>IF(Tabla1[[#This Row],[Aprobación_Veterinaria]]=1,"APROBADO","NO APROBADO")</f>
        <v>APROBADO</v>
      </c>
      <c r="O628" t="str">
        <f>IF(Tabla1[[#This Row],[Repite compra?]]=1,"REPITE","NO REPITE")</f>
        <v>REPITE</v>
      </c>
      <c r="P628" t="str">
        <f>IF(Tabla1[[#This Row],[rating_segun encuesta a Consumidor]]&lt;5,"Regular",IF(Tabla1[[#This Row],[rating_segun encuesta a Consumidor]]&gt;8,"Excelente","Bueno"))</f>
        <v>Bueno</v>
      </c>
    </row>
    <row r="629" spans="1:16" x14ac:dyDescent="0.35">
      <c r="A629" s="1">
        <v>44020</v>
      </c>
      <c r="B629">
        <v>4445</v>
      </c>
      <c r="C629" t="s">
        <v>42</v>
      </c>
      <c r="D629">
        <v>100</v>
      </c>
      <c r="E629">
        <v>217.06800000000001</v>
      </c>
      <c r="F629">
        <v>1</v>
      </c>
      <c r="G629" t="s">
        <v>36</v>
      </c>
      <c r="H629" t="s">
        <v>22</v>
      </c>
      <c r="I629" t="s">
        <v>35</v>
      </c>
      <c r="J629" t="s">
        <v>23</v>
      </c>
      <c r="K629">
        <v>7</v>
      </c>
      <c r="L629">
        <v>1</v>
      </c>
      <c r="M629" s="2">
        <f t="shared" si="9"/>
        <v>21706.800000000003</v>
      </c>
      <c r="N629" s="2" t="str">
        <f>IF(Tabla1[[#This Row],[Aprobación_Veterinaria]]=1,"APROBADO","NO APROBADO")</f>
        <v>APROBADO</v>
      </c>
      <c r="O629" t="str">
        <f>IF(Tabla1[[#This Row],[Repite compra?]]=1,"REPITE","NO REPITE")</f>
        <v>REPITE</v>
      </c>
      <c r="P629" t="str">
        <f>IF(Tabla1[[#This Row],[rating_segun encuesta a Consumidor]]&lt;5,"Regular",IF(Tabla1[[#This Row],[rating_segun encuesta a Consumidor]]&gt;8,"Excelente","Bueno"))</f>
        <v>Bueno</v>
      </c>
    </row>
    <row r="630" spans="1:16" x14ac:dyDescent="0.35">
      <c r="A630" s="1">
        <v>44194</v>
      </c>
      <c r="B630">
        <v>4689</v>
      </c>
      <c r="C630" t="s">
        <v>43</v>
      </c>
      <c r="D630">
        <v>199</v>
      </c>
      <c r="E630">
        <v>28.704000000000001</v>
      </c>
      <c r="F630">
        <v>0</v>
      </c>
      <c r="G630" t="s">
        <v>37</v>
      </c>
      <c r="H630" t="s">
        <v>54</v>
      </c>
      <c r="I630" t="s">
        <v>28</v>
      </c>
      <c r="J630" t="s">
        <v>23</v>
      </c>
      <c r="K630">
        <v>10</v>
      </c>
      <c r="L630">
        <v>1</v>
      </c>
      <c r="M630" s="2">
        <f t="shared" si="9"/>
        <v>5712.0960000000005</v>
      </c>
      <c r="N630" s="2" t="str">
        <f>IF(Tabla1[[#This Row],[Aprobación_Veterinaria]]=1,"APROBADO","NO APROBADO")</f>
        <v>NO APROBADO</v>
      </c>
      <c r="O630" t="str">
        <f>IF(Tabla1[[#This Row],[Repite compra?]]=1,"REPITE","NO REPITE")</f>
        <v>REPITE</v>
      </c>
      <c r="P630" t="str">
        <f>IF(Tabla1[[#This Row],[rating_segun encuesta a Consumidor]]&lt;5,"Regular",IF(Tabla1[[#This Row],[rating_segun encuesta a Consumidor]]&gt;8,"Excelente","Bueno"))</f>
        <v>Excelente</v>
      </c>
    </row>
    <row r="631" spans="1:16" x14ac:dyDescent="0.35">
      <c r="A631" s="1">
        <v>44068</v>
      </c>
      <c r="B631">
        <v>4637</v>
      </c>
      <c r="C631" t="s">
        <v>47</v>
      </c>
      <c r="D631">
        <v>217</v>
      </c>
      <c r="E631">
        <v>159.24</v>
      </c>
      <c r="F631">
        <v>1</v>
      </c>
      <c r="G631" t="s">
        <v>40</v>
      </c>
      <c r="H631" t="s">
        <v>22</v>
      </c>
      <c r="I631" t="s">
        <v>18</v>
      </c>
      <c r="J631" t="s">
        <v>23</v>
      </c>
      <c r="K631">
        <v>10</v>
      </c>
      <c r="L631">
        <v>1</v>
      </c>
      <c r="M631" s="2">
        <f t="shared" si="9"/>
        <v>34555.08</v>
      </c>
      <c r="N631" s="2" t="str">
        <f>IF(Tabla1[[#This Row],[Aprobación_Veterinaria]]=1,"APROBADO","NO APROBADO")</f>
        <v>APROBADO</v>
      </c>
      <c r="O631" t="str">
        <f>IF(Tabla1[[#This Row],[Repite compra?]]=1,"REPITE","NO REPITE")</f>
        <v>REPITE</v>
      </c>
      <c r="P631" t="str">
        <f>IF(Tabla1[[#This Row],[rating_segun encuesta a Consumidor]]&lt;5,"Regular",IF(Tabla1[[#This Row],[rating_segun encuesta a Consumidor]]&gt;8,"Excelente","Bueno"))</f>
        <v>Excelente</v>
      </c>
    </row>
    <row r="632" spans="1:16" x14ac:dyDescent="0.35">
      <c r="A632" s="1">
        <v>44005</v>
      </c>
      <c r="B632">
        <v>4299</v>
      </c>
      <c r="C632" t="s">
        <v>15</v>
      </c>
      <c r="D632">
        <v>77</v>
      </c>
      <c r="E632">
        <v>52.800000000000004</v>
      </c>
      <c r="F632">
        <v>1</v>
      </c>
      <c r="G632" t="s">
        <v>16</v>
      </c>
      <c r="H632" t="s">
        <v>22</v>
      </c>
      <c r="I632" t="s">
        <v>28</v>
      </c>
      <c r="J632" t="s">
        <v>23</v>
      </c>
      <c r="K632">
        <v>10</v>
      </c>
      <c r="L632">
        <v>1</v>
      </c>
      <c r="M632" s="2">
        <f t="shared" si="9"/>
        <v>4065.6000000000004</v>
      </c>
      <c r="N632" s="2" t="str">
        <f>IF(Tabla1[[#This Row],[Aprobación_Veterinaria]]=1,"APROBADO","NO APROBADO")</f>
        <v>APROBADO</v>
      </c>
      <c r="O632" t="str">
        <f>IF(Tabla1[[#This Row],[Repite compra?]]=1,"REPITE","NO REPITE")</f>
        <v>REPITE</v>
      </c>
      <c r="P632" t="str">
        <f>IF(Tabla1[[#This Row],[rating_segun encuesta a Consumidor]]&lt;5,"Regular",IF(Tabla1[[#This Row],[rating_segun encuesta a Consumidor]]&gt;8,"Excelente","Bueno"))</f>
        <v>Excelente</v>
      </c>
    </row>
    <row r="633" spans="1:16" x14ac:dyDescent="0.35">
      <c r="A633" s="1">
        <v>43978</v>
      </c>
      <c r="B633">
        <v>4376</v>
      </c>
      <c r="C633" t="s">
        <v>15</v>
      </c>
      <c r="D633">
        <v>50</v>
      </c>
      <c r="E633">
        <v>162.91200000000001</v>
      </c>
      <c r="F633">
        <v>0</v>
      </c>
      <c r="G633" t="s">
        <v>21</v>
      </c>
      <c r="H633" t="s">
        <v>22</v>
      </c>
      <c r="I633" t="s">
        <v>45</v>
      </c>
      <c r="J633" t="s">
        <v>29</v>
      </c>
      <c r="K633">
        <v>8</v>
      </c>
      <c r="L633">
        <v>0</v>
      </c>
      <c r="M633" s="2">
        <f t="shared" si="9"/>
        <v>8145.6</v>
      </c>
      <c r="N633" s="2" t="str">
        <f>IF(Tabla1[[#This Row],[Aprobación_Veterinaria]]=1,"APROBADO","NO APROBADO")</f>
        <v>NO APROBADO</v>
      </c>
      <c r="O633" t="str">
        <f>IF(Tabla1[[#This Row],[Repite compra?]]=1,"REPITE","NO REPITE")</f>
        <v>NO REPITE</v>
      </c>
      <c r="P633" t="str">
        <f>IF(Tabla1[[#This Row],[rating_segun encuesta a Consumidor]]&lt;5,"Regular",IF(Tabla1[[#This Row],[rating_segun encuesta a Consumidor]]&gt;8,"Excelente","Bueno"))</f>
        <v>Bueno</v>
      </c>
    </row>
    <row r="634" spans="1:16" x14ac:dyDescent="0.35">
      <c r="A634" s="1">
        <v>44085</v>
      </c>
      <c r="B634">
        <v>4473</v>
      </c>
      <c r="C634" t="s">
        <v>43</v>
      </c>
      <c r="D634">
        <v>110</v>
      </c>
      <c r="E634">
        <v>42.408000000000001</v>
      </c>
      <c r="F634">
        <v>1</v>
      </c>
      <c r="G634" t="s">
        <v>24</v>
      </c>
      <c r="H634" t="s">
        <v>22</v>
      </c>
      <c r="I634" t="s">
        <v>41</v>
      </c>
      <c r="J634" t="s">
        <v>23</v>
      </c>
      <c r="K634">
        <v>5</v>
      </c>
      <c r="L634">
        <v>0</v>
      </c>
      <c r="M634" s="2">
        <f t="shared" si="9"/>
        <v>4664.88</v>
      </c>
      <c r="N634" s="2" t="str">
        <f>IF(Tabla1[[#This Row],[Aprobación_Veterinaria]]=1,"APROBADO","NO APROBADO")</f>
        <v>APROBADO</v>
      </c>
      <c r="O634" t="str">
        <f>IF(Tabla1[[#This Row],[Repite compra?]]=1,"REPITE","NO REPITE")</f>
        <v>NO REPITE</v>
      </c>
      <c r="P634" t="str">
        <f>IF(Tabla1[[#This Row],[rating_segun encuesta a Consumidor]]&lt;5,"Regular",IF(Tabla1[[#This Row],[rating_segun encuesta a Consumidor]]&gt;8,"Excelente","Bueno"))</f>
        <v>Bueno</v>
      </c>
    </row>
    <row r="635" spans="1:16" x14ac:dyDescent="0.35">
      <c r="A635" s="1">
        <v>44192</v>
      </c>
      <c r="B635">
        <v>4722</v>
      </c>
      <c r="C635" t="s">
        <v>43</v>
      </c>
      <c r="D635">
        <v>21</v>
      </c>
      <c r="E635">
        <v>123.16800000000001</v>
      </c>
      <c r="F635">
        <v>0</v>
      </c>
      <c r="G635" t="s">
        <v>27</v>
      </c>
      <c r="H635" t="s">
        <v>38</v>
      </c>
      <c r="I635" t="s">
        <v>18</v>
      </c>
      <c r="J635" t="s">
        <v>29</v>
      </c>
      <c r="K635">
        <v>10</v>
      </c>
      <c r="L635">
        <v>1</v>
      </c>
      <c r="M635" s="2">
        <f t="shared" si="9"/>
        <v>2586.5280000000002</v>
      </c>
      <c r="N635" s="2" t="str">
        <f>IF(Tabla1[[#This Row],[Aprobación_Veterinaria]]=1,"APROBADO","NO APROBADO")</f>
        <v>NO APROBADO</v>
      </c>
      <c r="O635" t="str">
        <f>IF(Tabla1[[#This Row],[Repite compra?]]=1,"REPITE","NO REPITE")</f>
        <v>REPITE</v>
      </c>
      <c r="P635" t="str">
        <f>IF(Tabla1[[#This Row],[rating_segun encuesta a Consumidor]]&lt;5,"Regular",IF(Tabla1[[#This Row],[rating_segun encuesta a Consumidor]]&gt;8,"Excelente","Bueno"))</f>
        <v>Excelente</v>
      </c>
    </row>
    <row r="636" spans="1:16" x14ac:dyDescent="0.35">
      <c r="A636" s="1">
        <v>44122</v>
      </c>
      <c r="B636">
        <v>4718</v>
      </c>
      <c r="C636" t="s">
        <v>30</v>
      </c>
      <c r="D636">
        <v>47</v>
      </c>
      <c r="E636">
        <v>92.100000000000009</v>
      </c>
      <c r="F636">
        <v>1</v>
      </c>
      <c r="G636" t="s">
        <v>31</v>
      </c>
      <c r="H636" t="s">
        <v>50</v>
      </c>
      <c r="I636" t="s">
        <v>18</v>
      </c>
      <c r="J636" t="s">
        <v>29</v>
      </c>
      <c r="K636">
        <v>10</v>
      </c>
      <c r="L636">
        <v>0</v>
      </c>
      <c r="M636" s="2">
        <f t="shared" si="9"/>
        <v>4328.7000000000007</v>
      </c>
      <c r="N636" s="2" t="str">
        <f>IF(Tabla1[[#This Row],[Aprobación_Veterinaria]]=1,"APROBADO","NO APROBADO")</f>
        <v>APROBADO</v>
      </c>
      <c r="O636" t="str">
        <f>IF(Tabla1[[#This Row],[Repite compra?]]=1,"REPITE","NO REPITE")</f>
        <v>NO REPITE</v>
      </c>
      <c r="P636" t="str">
        <f>IF(Tabla1[[#This Row],[rating_segun encuesta a Consumidor]]&lt;5,"Regular",IF(Tabla1[[#This Row],[rating_segun encuesta a Consumidor]]&gt;8,"Excelente","Bueno"))</f>
        <v>Excelente</v>
      </c>
    </row>
    <row r="637" spans="1:16" x14ac:dyDescent="0.35">
      <c r="A637" s="1">
        <v>44157</v>
      </c>
      <c r="B637">
        <v>4659</v>
      </c>
      <c r="C637" t="s">
        <v>47</v>
      </c>
      <c r="D637">
        <v>208</v>
      </c>
      <c r="E637">
        <v>166.03200000000001</v>
      </c>
      <c r="F637">
        <v>1</v>
      </c>
      <c r="G637" t="s">
        <v>33</v>
      </c>
      <c r="H637" t="s">
        <v>22</v>
      </c>
      <c r="I637" t="s">
        <v>28</v>
      </c>
      <c r="J637" t="s">
        <v>23</v>
      </c>
      <c r="K637">
        <v>10</v>
      </c>
      <c r="L637">
        <v>1</v>
      </c>
      <c r="M637" s="2">
        <f t="shared" si="9"/>
        <v>34534.656000000003</v>
      </c>
      <c r="N637" s="2" t="str">
        <f>IF(Tabla1[[#This Row],[Aprobación_Veterinaria]]=1,"APROBADO","NO APROBADO")</f>
        <v>APROBADO</v>
      </c>
      <c r="O637" t="str">
        <f>IF(Tabla1[[#This Row],[Repite compra?]]=1,"REPITE","NO REPITE")</f>
        <v>REPITE</v>
      </c>
      <c r="P637" t="str">
        <f>IF(Tabla1[[#This Row],[rating_segun encuesta a Consumidor]]&lt;5,"Regular",IF(Tabla1[[#This Row],[rating_segun encuesta a Consumidor]]&gt;8,"Excelente","Bueno"))</f>
        <v>Excelente</v>
      </c>
    </row>
    <row r="638" spans="1:16" x14ac:dyDescent="0.35">
      <c r="A638" s="1">
        <v>43948</v>
      </c>
      <c r="B638">
        <v>4943</v>
      </c>
      <c r="C638" t="s">
        <v>20</v>
      </c>
      <c r="D638">
        <v>124</v>
      </c>
      <c r="E638">
        <v>67.248000000000005</v>
      </c>
      <c r="F638">
        <v>1</v>
      </c>
      <c r="G638" t="s">
        <v>34</v>
      </c>
      <c r="H638" t="s">
        <v>50</v>
      </c>
      <c r="I638" t="s">
        <v>41</v>
      </c>
      <c r="J638" t="s">
        <v>23</v>
      </c>
      <c r="K638">
        <v>6</v>
      </c>
      <c r="L638">
        <v>0</v>
      </c>
      <c r="M638" s="2">
        <f t="shared" si="9"/>
        <v>8338.7520000000004</v>
      </c>
      <c r="N638" s="2" t="str">
        <f>IF(Tabla1[[#This Row],[Aprobación_Veterinaria]]=1,"APROBADO","NO APROBADO")</f>
        <v>APROBADO</v>
      </c>
      <c r="O638" t="str">
        <f>IF(Tabla1[[#This Row],[Repite compra?]]=1,"REPITE","NO REPITE")</f>
        <v>NO REPITE</v>
      </c>
      <c r="P638" t="str">
        <f>IF(Tabla1[[#This Row],[rating_segun encuesta a Consumidor]]&lt;5,"Regular",IF(Tabla1[[#This Row],[rating_segun encuesta a Consumidor]]&gt;8,"Excelente","Bueno"))</f>
        <v>Bueno</v>
      </c>
    </row>
    <row r="639" spans="1:16" x14ac:dyDescent="0.35">
      <c r="A639" s="1">
        <v>44168</v>
      </c>
      <c r="B639">
        <v>4324</v>
      </c>
      <c r="C639" t="s">
        <v>42</v>
      </c>
      <c r="D639">
        <v>125</v>
      </c>
      <c r="E639">
        <v>123.56400000000001</v>
      </c>
      <c r="F639">
        <v>1</v>
      </c>
      <c r="G639" t="s">
        <v>36</v>
      </c>
      <c r="H639" t="s">
        <v>22</v>
      </c>
      <c r="I639" t="s">
        <v>28</v>
      </c>
      <c r="J639" t="s">
        <v>29</v>
      </c>
      <c r="K639">
        <v>4</v>
      </c>
      <c r="L639">
        <v>0</v>
      </c>
      <c r="M639" s="2">
        <f t="shared" si="9"/>
        <v>15445.5</v>
      </c>
      <c r="N639" s="2" t="str">
        <f>IF(Tabla1[[#This Row],[Aprobación_Veterinaria]]=1,"APROBADO","NO APROBADO")</f>
        <v>APROBADO</v>
      </c>
      <c r="O639" t="str">
        <f>IF(Tabla1[[#This Row],[Repite compra?]]=1,"REPITE","NO REPITE")</f>
        <v>NO REPITE</v>
      </c>
      <c r="P639" t="str">
        <f>IF(Tabla1[[#This Row],[rating_segun encuesta a Consumidor]]&lt;5,"Regular",IF(Tabla1[[#This Row],[rating_segun encuesta a Consumidor]]&gt;8,"Excelente","Bueno"))</f>
        <v>Regular</v>
      </c>
    </row>
    <row r="640" spans="1:16" x14ac:dyDescent="0.35">
      <c r="A640" s="1">
        <v>43901</v>
      </c>
      <c r="B640">
        <v>4340</v>
      </c>
      <c r="C640" t="s">
        <v>47</v>
      </c>
      <c r="D640">
        <v>229</v>
      </c>
      <c r="E640">
        <v>17.088000000000001</v>
      </c>
      <c r="F640">
        <v>1</v>
      </c>
      <c r="G640" t="s">
        <v>37</v>
      </c>
      <c r="H640" t="s">
        <v>22</v>
      </c>
      <c r="I640" t="s">
        <v>35</v>
      </c>
      <c r="J640" t="s">
        <v>29</v>
      </c>
      <c r="K640">
        <v>6</v>
      </c>
      <c r="L640">
        <v>0</v>
      </c>
      <c r="M640" s="2">
        <f t="shared" si="9"/>
        <v>3913.152</v>
      </c>
      <c r="N640" s="2" t="str">
        <f>IF(Tabla1[[#This Row],[Aprobación_Veterinaria]]=1,"APROBADO","NO APROBADO")</f>
        <v>APROBADO</v>
      </c>
      <c r="O640" t="str">
        <f>IF(Tabla1[[#This Row],[Repite compra?]]=1,"REPITE","NO REPITE")</f>
        <v>NO REPITE</v>
      </c>
      <c r="P640" t="str">
        <f>IF(Tabla1[[#This Row],[rating_segun encuesta a Consumidor]]&lt;5,"Regular",IF(Tabla1[[#This Row],[rating_segun encuesta a Consumidor]]&gt;8,"Excelente","Bueno"))</f>
        <v>Bueno</v>
      </c>
    </row>
    <row r="641" spans="1:16" x14ac:dyDescent="0.35">
      <c r="A641" s="1">
        <v>44031</v>
      </c>
      <c r="B641">
        <v>4517</v>
      </c>
      <c r="C641" t="s">
        <v>43</v>
      </c>
      <c r="D641">
        <v>124</v>
      </c>
      <c r="E641">
        <v>123.096</v>
      </c>
      <c r="F641">
        <v>1</v>
      </c>
      <c r="G641" t="s">
        <v>40</v>
      </c>
      <c r="H641" t="s">
        <v>22</v>
      </c>
      <c r="I641" t="s">
        <v>18</v>
      </c>
      <c r="J641" t="s">
        <v>23</v>
      </c>
      <c r="K641">
        <v>9</v>
      </c>
      <c r="L641">
        <v>0</v>
      </c>
      <c r="M641" s="2">
        <f t="shared" si="9"/>
        <v>15263.904</v>
      </c>
      <c r="N641" s="2" t="str">
        <f>IF(Tabla1[[#This Row],[Aprobación_Veterinaria]]=1,"APROBADO","NO APROBADO")</f>
        <v>APROBADO</v>
      </c>
      <c r="O641" t="str">
        <f>IF(Tabla1[[#This Row],[Repite compra?]]=1,"REPITE","NO REPITE")</f>
        <v>NO REPITE</v>
      </c>
      <c r="P641" t="str">
        <f>IF(Tabla1[[#This Row],[rating_segun encuesta a Consumidor]]&lt;5,"Regular",IF(Tabla1[[#This Row],[rating_segun encuesta a Consumidor]]&gt;8,"Excelente","Bueno"))</f>
        <v>Excelente</v>
      </c>
    </row>
    <row r="642" spans="1:16" x14ac:dyDescent="0.35">
      <c r="A642" s="1">
        <v>43877</v>
      </c>
      <c r="B642">
        <v>4598</v>
      </c>
      <c r="C642" t="s">
        <v>32</v>
      </c>
      <c r="D642">
        <v>10</v>
      </c>
      <c r="E642">
        <v>64.680000000000007</v>
      </c>
      <c r="F642">
        <v>1</v>
      </c>
      <c r="G642" t="s">
        <v>16</v>
      </c>
      <c r="H642" t="s">
        <v>22</v>
      </c>
      <c r="I642" t="s">
        <v>41</v>
      </c>
      <c r="J642" t="s">
        <v>29</v>
      </c>
      <c r="K642">
        <v>10</v>
      </c>
      <c r="L642">
        <v>1</v>
      </c>
      <c r="M642" s="2">
        <f t="shared" ref="M642:M705" si="10">D642*E642</f>
        <v>646.80000000000007</v>
      </c>
      <c r="N642" s="2" t="str">
        <f>IF(Tabla1[[#This Row],[Aprobación_Veterinaria]]=1,"APROBADO","NO APROBADO")</f>
        <v>APROBADO</v>
      </c>
      <c r="O642" t="str">
        <f>IF(Tabla1[[#This Row],[Repite compra?]]=1,"REPITE","NO REPITE")</f>
        <v>REPITE</v>
      </c>
      <c r="P642" t="str">
        <f>IF(Tabla1[[#This Row],[rating_segun encuesta a Consumidor]]&lt;5,"Regular",IF(Tabla1[[#This Row],[rating_segun encuesta a Consumidor]]&gt;8,"Excelente","Bueno"))</f>
        <v>Excelente</v>
      </c>
    </row>
    <row r="643" spans="1:16" x14ac:dyDescent="0.35">
      <c r="A643" s="1">
        <v>43966</v>
      </c>
      <c r="B643">
        <v>4207</v>
      </c>
      <c r="C643" t="s">
        <v>51</v>
      </c>
      <c r="D643">
        <v>61</v>
      </c>
      <c r="E643">
        <v>101.84400000000001</v>
      </c>
      <c r="F643">
        <v>0</v>
      </c>
      <c r="G643" t="s">
        <v>21</v>
      </c>
      <c r="H643" t="s">
        <v>22</v>
      </c>
      <c r="I643" t="s">
        <v>18</v>
      </c>
      <c r="J643" t="s">
        <v>25</v>
      </c>
      <c r="K643">
        <v>5</v>
      </c>
      <c r="L643">
        <v>1</v>
      </c>
      <c r="M643" s="2">
        <f t="shared" si="10"/>
        <v>6212.4840000000004</v>
      </c>
      <c r="N643" s="2" t="str">
        <f>IF(Tabla1[[#This Row],[Aprobación_Veterinaria]]=1,"APROBADO","NO APROBADO")</f>
        <v>NO APROBADO</v>
      </c>
      <c r="O643" t="str">
        <f>IF(Tabla1[[#This Row],[Repite compra?]]=1,"REPITE","NO REPITE")</f>
        <v>REPITE</v>
      </c>
      <c r="P643" t="str">
        <f>IF(Tabla1[[#This Row],[rating_segun encuesta a Consumidor]]&lt;5,"Regular",IF(Tabla1[[#This Row],[rating_segun encuesta a Consumidor]]&gt;8,"Excelente","Bueno"))</f>
        <v>Bueno</v>
      </c>
    </row>
    <row r="644" spans="1:16" x14ac:dyDescent="0.35">
      <c r="A644" s="1">
        <v>43942</v>
      </c>
      <c r="B644">
        <v>4295</v>
      </c>
      <c r="C644" t="s">
        <v>51</v>
      </c>
      <c r="D644">
        <v>138</v>
      </c>
      <c r="E644">
        <v>59.736000000000004</v>
      </c>
      <c r="F644">
        <v>0</v>
      </c>
      <c r="G644" t="s">
        <v>24</v>
      </c>
      <c r="H644" t="s">
        <v>22</v>
      </c>
      <c r="I644" t="s">
        <v>35</v>
      </c>
      <c r="J644" t="s">
        <v>19</v>
      </c>
      <c r="K644">
        <v>1</v>
      </c>
      <c r="L644">
        <v>0</v>
      </c>
      <c r="M644" s="2">
        <f t="shared" si="10"/>
        <v>8243.5680000000011</v>
      </c>
      <c r="N644" s="2" t="str">
        <f>IF(Tabla1[[#This Row],[Aprobación_Veterinaria]]=1,"APROBADO","NO APROBADO")</f>
        <v>NO APROBADO</v>
      </c>
      <c r="O644" t="str">
        <f>IF(Tabla1[[#This Row],[Repite compra?]]=1,"REPITE","NO REPITE")</f>
        <v>NO REPITE</v>
      </c>
      <c r="P644" t="str">
        <f>IF(Tabla1[[#This Row],[rating_segun encuesta a Consumidor]]&lt;5,"Regular",IF(Tabla1[[#This Row],[rating_segun encuesta a Consumidor]]&gt;8,"Excelente","Bueno"))</f>
        <v>Regular</v>
      </c>
    </row>
    <row r="645" spans="1:16" x14ac:dyDescent="0.35">
      <c r="A645" s="1">
        <v>44072</v>
      </c>
      <c r="B645">
        <v>4458</v>
      </c>
      <c r="C645" t="s">
        <v>39</v>
      </c>
      <c r="D645">
        <v>34</v>
      </c>
      <c r="E645">
        <v>86.4</v>
      </c>
      <c r="F645">
        <v>1</v>
      </c>
      <c r="G645" t="s">
        <v>27</v>
      </c>
      <c r="H645" t="s">
        <v>22</v>
      </c>
      <c r="I645" t="s">
        <v>41</v>
      </c>
      <c r="J645" t="s">
        <v>29</v>
      </c>
      <c r="K645">
        <v>3</v>
      </c>
      <c r="L645">
        <v>1</v>
      </c>
      <c r="M645" s="2">
        <f t="shared" si="10"/>
        <v>2937.6000000000004</v>
      </c>
      <c r="N645" s="2" t="str">
        <f>IF(Tabla1[[#This Row],[Aprobación_Veterinaria]]=1,"APROBADO","NO APROBADO")</f>
        <v>APROBADO</v>
      </c>
      <c r="O645" t="str">
        <f>IF(Tabla1[[#This Row],[Repite compra?]]=1,"REPITE","NO REPITE")</f>
        <v>REPITE</v>
      </c>
      <c r="P645" t="str">
        <f>IF(Tabla1[[#This Row],[rating_segun encuesta a Consumidor]]&lt;5,"Regular",IF(Tabla1[[#This Row],[rating_segun encuesta a Consumidor]]&gt;8,"Excelente","Bueno"))</f>
        <v>Regular</v>
      </c>
    </row>
    <row r="646" spans="1:16" x14ac:dyDescent="0.35">
      <c r="A646" s="1">
        <v>44152</v>
      </c>
      <c r="B646">
        <v>4322</v>
      </c>
      <c r="C646" t="s">
        <v>46</v>
      </c>
      <c r="D646">
        <v>161</v>
      </c>
      <c r="E646">
        <v>131.34</v>
      </c>
      <c r="F646">
        <v>1</v>
      </c>
      <c r="G646" t="s">
        <v>31</v>
      </c>
      <c r="H646" t="s">
        <v>22</v>
      </c>
      <c r="I646" t="s">
        <v>18</v>
      </c>
      <c r="J646" t="s">
        <v>29</v>
      </c>
      <c r="K646">
        <v>4</v>
      </c>
      <c r="L646">
        <v>0</v>
      </c>
      <c r="M646" s="2">
        <f t="shared" si="10"/>
        <v>21145.74</v>
      </c>
      <c r="N646" s="2" t="str">
        <f>IF(Tabla1[[#This Row],[Aprobación_Veterinaria]]=1,"APROBADO","NO APROBADO")</f>
        <v>APROBADO</v>
      </c>
      <c r="O646" t="str">
        <f>IF(Tabla1[[#This Row],[Repite compra?]]=1,"REPITE","NO REPITE")</f>
        <v>NO REPITE</v>
      </c>
      <c r="P646" t="str">
        <f>IF(Tabla1[[#This Row],[rating_segun encuesta a Consumidor]]&lt;5,"Regular",IF(Tabla1[[#This Row],[rating_segun encuesta a Consumidor]]&gt;8,"Excelente","Bueno"))</f>
        <v>Regular</v>
      </c>
    </row>
    <row r="647" spans="1:16" x14ac:dyDescent="0.35">
      <c r="A647" s="1">
        <v>43887</v>
      </c>
      <c r="B647">
        <v>5019</v>
      </c>
      <c r="C647" t="s">
        <v>15</v>
      </c>
      <c r="D647">
        <v>142</v>
      </c>
      <c r="E647">
        <v>131.65200000000002</v>
      </c>
      <c r="F647">
        <v>0</v>
      </c>
      <c r="G647" t="s">
        <v>33</v>
      </c>
      <c r="H647" t="s">
        <v>54</v>
      </c>
      <c r="I647" t="s">
        <v>41</v>
      </c>
      <c r="J647" t="s">
        <v>49</v>
      </c>
      <c r="K647">
        <v>6</v>
      </c>
      <c r="L647">
        <v>1</v>
      </c>
      <c r="M647" s="2">
        <f t="shared" si="10"/>
        <v>18694.584000000003</v>
      </c>
      <c r="N647" s="2" t="str">
        <f>IF(Tabla1[[#This Row],[Aprobación_Veterinaria]]=1,"APROBADO","NO APROBADO")</f>
        <v>NO APROBADO</v>
      </c>
      <c r="O647" t="str">
        <f>IF(Tabla1[[#This Row],[Repite compra?]]=1,"REPITE","NO REPITE")</f>
        <v>REPITE</v>
      </c>
      <c r="P647" t="str">
        <f>IF(Tabla1[[#This Row],[rating_segun encuesta a Consumidor]]&lt;5,"Regular",IF(Tabla1[[#This Row],[rating_segun encuesta a Consumidor]]&gt;8,"Excelente","Bueno"))</f>
        <v>Bueno</v>
      </c>
    </row>
    <row r="648" spans="1:16" x14ac:dyDescent="0.35">
      <c r="A648" s="1">
        <v>44119</v>
      </c>
      <c r="B648">
        <v>4499</v>
      </c>
      <c r="C648" t="s">
        <v>32</v>
      </c>
      <c r="D648">
        <v>40</v>
      </c>
      <c r="E648">
        <v>102.21600000000001</v>
      </c>
      <c r="F648">
        <v>1</v>
      </c>
      <c r="G648" t="s">
        <v>34</v>
      </c>
      <c r="H648" t="s">
        <v>22</v>
      </c>
      <c r="I648" t="s">
        <v>28</v>
      </c>
      <c r="J648" t="s">
        <v>23</v>
      </c>
      <c r="K648">
        <v>4</v>
      </c>
      <c r="L648">
        <v>0</v>
      </c>
      <c r="M648" s="2">
        <f t="shared" si="10"/>
        <v>4088.6400000000003</v>
      </c>
      <c r="N648" s="2" t="str">
        <f>IF(Tabla1[[#This Row],[Aprobación_Veterinaria]]=1,"APROBADO","NO APROBADO")</f>
        <v>APROBADO</v>
      </c>
      <c r="O648" t="str">
        <f>IF(Tabla1[[#This Row],[Repite compra?]]=1,"REPITE","NO REPITE")</f>
        <v>NO REPITE</v>
      </c>
      <c r="P648" t="str">
        <f>IF(Tabla1[[#This Row],[rating_segun encuesta a Consumidor]]&lt;5,"Regular",IF(Tabla1[[#This Row],[rating_segun encuesta a Consumidor]]&gt;8,"Excelente","Bueno"))</f>
        <v>Regular</v>
      </c>
    </row>
    <row r="649" spans="1:16" x14ac:dyDescent="0.35">
      <c r="A649" s="1">
        <v>44119</v>
      </c>
      <c r="B649">
        <v>4507</v>
      </c>
      <c r="C649" t="s">
        <v>26</v>
      </c>
      <c r="D649">
        <v>223</v>
      </c>
      <c r="E649">
        <v>100.548</v>
      </c>
      <c r="F649">
        <v>1</v>
      </c>
      <c r="G649" t="s">
        <v>36</v>
      </c>
      <c r="H649" t="s">
        <v>22</v>
      </c>
      <c r="I649" t="s">
        <v>18</v>
      </c>
      <c r="J649" t="s">
        <v>23</v>
      </c>
      <c r="K649">
        <v>2</v>
      </c>
      <c r="L649">
        <v>0</v>
      </c>
      <c r="M649" s="2">
        <f t="shared" si="10"/>
        <v>22422.204000000002</v>
      </c>
      <c r="N649" s="2" t="str">
        <f>IF(Tabla1[[#This Row],[Aprobación_Veterinaria]]=1,"APROBADO","NO APROBADO")</f>
        <v>APROBADO</v>
      </c>
      <c r="O649" t="str">
        <f>IF(Tabla1[[#This Row],[Repite compra?]]=1,"REPITE","NO REPITE")</f>
        <v>NO REPITE</v>
      </c>
      <c r="P649" t="str">
        <f>IF(Tabla1[[#This Row],[rating_segun encuesta a Consumidor]]&lt;5,"Regular",IF(Tabla1[[#This Row],[rating_segun encuesta a Consumidor]]&gt;8,"Excelente","Bueno"))</f>
        <v>Regular</v>
      </c>
    </row>
    <row r="650" spans="1:16" x14ac:dyDescent="0.35">
      <c r="A650" s="1">
        <v>44175</v>
      </c>
      <c r="B650">
        <v>4758</v>
      </c>
      <c r="C650" t="s">
        <v>43</v>
      </c>
      <c r="D650">
        <v>76</v>
      </c>
      <c r="E650">
        <v>211.404</v>
      </c>
      <c r="F650">
        <v>1</v>
      </c>
      <c r="G650" t="s">
        <v>37</v>
      </c>
      <c r="H650" t="s">
        <v>50</v>
      </c>
      <c r="I650" t="s">
        <v>18</v>
      </c>
      <c r="J650" t="s">
        <v>29</v>
      </c>
      <c r="K650">
        <v>7</v>
      </c>
      <c r="L650">
        <v>1</v>
      </c>
      <c r="M650" s="2">
        <f t="shared" si="10"/>
        <v>16066.704</v>
      </c>
      <c r="N650" s="2" t="str">
        <f>IF(Tabla1[[#This Row],[Aprobación_Veterinaria]]=1,"APROBADO","NO APROBADO")</f>
        <v>APROBADO</v>
      </c>
      <c r="O650" t="str">
        <f>IF(Tabla1[[#This Row],[Repite compra?]]=1,"REPITE","NO REPITE")</f>
        <v>REPITE</v>
      </c>
      <c r="P650" t="str">
        <f>IF(Tabla1[[#This Row],[rating_segun encuesta a Consumidor]]&lt;5,"Regular",IF(Tabla1[[#This Row],[rating_segun encuesta a Consumidor]]&gt;8,"Excelente","Bueno"))</f>
        <v>Bueno</v>
      </c>
    </row>
    <row r="651" spans="1:16" x14ac:dyDescent="0.35">
      <c r="A651" s="1">
        <v>43838</v>
      </c>
      <c r="B651">
        <v>4393</v>
      </c>
      <c r="C651" t="s">
        <v>30</v>
      </c>
      <c r="D651">
        <v>16</v>
      </c>
      <c r="E651">
        <v>129.99600000000001</v>
      </c>
      <c r="F651">
        <v>1</v>
      </c>
      <c r="G651" t="s">
        <v>40</v>
      </c>
      <c r="H651" t="s">
        <v>22</v>
      </c>
      <c r="I651" t="s">
        <v>41</v>
      </c>
      <c r="J651" t="s">
        <v>23</v>
      </c>
      <c r="K651">
        <v>5</v>
      </c>
      <c r="L651">
        <v>0</v>
      </c>
      <c r="M651" s="2">
        <f t="shared" si="10"/>
        <v>2079.9360000000001</v>
      </c>
      <c r="N651" s="2" t="str">
        <f>IF(Tabla1[[#This Row],[Aprobación_Veterinaria]]=1,"APROBADO","NO APROBADO")</f>
        <v>APROBADO</v>
      </c>
      <c r="O651" t="str">
        <f>IF(Tabla1[[#This Row],[Repite compra?]]=1,"REPITE","NO REPITE")</f>
        <v>NO REPITE</v>
      </c>
      <c r="P651" t="str">
        <f>IF(Tabla1[[#This Row],[rating_segun encuesta a Consumidor]]&lt;5,"Regular",IF(Tabla1[[#This Row],[rating_segun encuesta a Consumidor]]&gt;8,"Excelente","Bueno"))</f>
        <v>Bueno</v>
      </c>
    </row>
    <row r="652" spans="1:16" x14ac:dyDescent="0.35">
      <c r="A652" s="1">
        <v>44188</v>
      </c>
      <c r="B652">
        <v>4651</v>
      </c>
      <c r="C652" t="s">
        <v>15</v>
      </c>
      <c r="D652">
        <v>156</v>
      </c>
      <c r="E652">
        <v>147.096</v>
      </c>
      <c r="F652">
        <v>1</v>
      </c>
      <c r="G652" t="s">
        <v>16</v>
      </c>
      <c r="H652" t="s">
        <v>22</v>
      </c>
      <c r="I652" t="s">
        <v>45</v>
      </c>
      <c r="J652" t="s">
        <v>23</v>
      </c>
      <c r="K652">
        <v>10</v>
      </c>
      <c r="L652">
        <v>1</v>
      </c>
      <c r="M652" s="2">
        <f t="shared" si="10"/>
        <v>22946.976000000002</v>
      </c>
      <c r="N652" s="2" t="str">
        <f>IF(Tabla1[[#This Row],[Aprobación_Veterinaria]]=1,"APROBADO","NO APROBADO")</f>
        <v>APROBADO</v>
      </c>
      <c r="O652" t="str">
        <f>IF(Tabla1[[#This Row],[Repite compra?]]=1,"REPITE","NO REPITE")</f>
        <v>REPITE</v>
      </c>
      <c r="P652" t="str">
        <f>IF(Tabla1[[#This Row],[rating_segun encuesta a Consumidor]]&lt;5,"Regular",IF(Tabla1[[#This Row],[rating_segun encuesta a Consumidor]]&gt;8,"Excelente","Bueno"))</f>
        <v>Excelente</v>
      </c>
    </row>
    <row r="653" spans="1:16" x14ac:dyDescent="0.35">
      <c r="A653" s="1">
        <v>43899</v>
      </c>
      <c r="B653">
        <v>5011</v>
      </c>
      <c r="C653" t="s">
        <v>26</v>
      </c>
      <c r="D653">
        <v>7</v>
      </c>
      <c r="E653">
        <v>213.852</v>
      </c>
      <c r="F653">
        <v>0</v>
      </c>
      <c r="G653" t="s">
        <v>21</v>
      </c>
      <c r="H653" t="s">
        <v>48</v>
      </c>
      <c r="I653" t="s">
        <v>41</v>
      </c>
      <c r="J653" t="s">
        <v>49</v>
      </c>
      <c r="K653">
        <v>6</v>
      </c>
      <c r="L653">
        <v>0</v>
      </c>
      <c r="M653" s="2">
        <f t="shared" si="10"/>
        <v>1496.9639999999999</v>
      </c>
      <c r="N653" s="2" t="str">
        <f>IF(Tabla1[[#This Row],[Aprobación_Veterinaria]]=1,"APROBADO","NO APROBADO")</f>
        <v>NO APROBADO</v>
      </c>
      <c r="O653" t="str">
        <f>IF(Tabla1[[#This Row],[Repite compra?]]=1,"REPITE","NO REPITE")</f>
        <v>NO REPITE</v>
      </c>
      <c r="P653" t="str">
        <f>IF(Tabla1[[#This Row],[rating_segun encuesta a Consumidor]]&lt;5,"Regular",IF(Tabla1[[#This Row],[rating_segun encuesta a Consumidor]]&gt;8,"Excelente","Bueno"))</f>
        <v>Bueno</v>
      </c>
    </row>
    <row r="654" spans="1:16" x14ac:dyDescent="0.35">
      <c r="A654" s="1">
        <v>44081</v>
      </c>
      <c r="B654">
        <v>5006</v>
      </c>
      <c r="C654" t="s">
        <v>20</v>
      </c>
      <c r="D654">
        <v>9</v>
      </c>
      <c r="E654">
        <v>164.11199999999999</v>
      </c>
      <c r="F654">
        <v>1</v>
      </c>
      <c r="G654" t="s">
        <v>24</v>
      </c>
      <c r="H654" t="s">
        <v>48</v>
      </c>
      <c r="I654" t="s">
        <v>18</v>
      </c>
      <c r="J654" t="s">
        <v>19</v>
      </c>
      <c r="K654">
        <v>6</v>
      </c>
      <c r="L654">
        <v>0</v>
      </c>
      <c r="M654" s="2">
        <f t="shared" si="10"/>
        <v>1477.008</v>
      </c>
      <c r="N654" s="2" t="str">
        <f>IF(Tabla1[[#This Row],[Aprobación_Veterinaria]]=1,"APROBADO","NO APROBADO")</f>
        <v>APROBADO</v>
      </c>
      <c r="O654" t="str">
        <f>IF(Tabla1[[#This Row],[Repite compra?]]=1,"REPITE","NO REPITE")</f>
        <v>NO REPITE</v>
      </c>
      <c r="P654" t="str">
        <f>IF(Tabla1[[#This Row],[rating_segun encuesta a Consumidor]]&lt;5,"Regular",IF(Tabla1[[#This Row],[rating_segun encuesta a Consumidor]]&gt;8,"Excelente","Bueno"))</f>
        <v>Bueno</v>
      </c>
    </row>
    <row r="655" spans="1:16" x14ac:dyDescent="0.35">
      <c r="A655" s="1">
        <v>44149</v>
      </c>
      <c r="B655">
        <v>4657</v>
      </c>
      <c r="C655" t="s">
        <v>30</v>
      </c>
      <c r="D655">
        <v>62</v>
      </c>
      <c r="E655">
        <v>181.584</v>
      </c>
      <c r="F655">
        <v>1</v>
      </c>
      <c r="G655" t="s">
        <v>27</v>
      </c>
      <c r="H655" t="s">
        <v>22</v>
      </c>
      <c r="I655" t="s">
        <v>18</v>
      </c>
      <c r="J655" t="s">
        <v>23</v>
      </c>
      <c r="K655">
        <v>10</v>
      </c>
      <c r="L655">
        <v>0</v>
      </c>
      <c r="M655" s="2">
        <f t="shared" si="10"/>
        <v>11258.208000000001</v>
      </c>
      <c r="N655" s="2" t="str">
        <f>IF(Tabla1[[#This Row],[Aprobación_Veterinaria]]=1,"APROBADO","NO APROBADO")</f>
        <v>APROBADO</v>
      </c>
      <c r="O655" t="str">
        <f>IF(Tabla1[[#This Row],[Repite compra?]]=1,"REPITE","NO REPITE")</f>
        <v>NO REPITE</v>
      </c>
      <c r="P655" t="str">
        <f>IF(Tabla1[[#This Row],[rating_segun encuesta a Consumidor]]&lt;5,"Regular",IF(Tabla1[[#This Row],[rating_segun encuesta a Consumidor]]&gt;8,"Excelente","Bueno"))</f>
        <v>Excelente</v>
      </c>
    </row>
    <row r="656" spans="1:16" x14ac:dyDescent="0.35">
      <c r="A656" s="1">
        <v>43960</v>
      </c>
      <c r="B656">
        <v>4751</v>
      </c>
      <c r="C656" t="s">
        <v>30</v>
      </c>
      <c r="D656">
        <v>68</v>
      </c>
      <c r="E656">
        <v>11.052</v>
      </c>
      <c r="F656">
        <v>1</v>
      </c>
      <c r="G656" t="s">
        <v>31</v>
      </c>
      <c r="H656" t="s">
        <v>48</v>
      </c>
      <c r="I656" t="s">
        <v>41</v>
      </c>
      <c r="J656" t="s">
        <v>23</v>
      </c>
      <c r="K656">
        <v>7</v>
      </c>
      <c r="L656">
        <v>1</v>
      </c>
      <c r="M656" s="2">
        <f t="shared" si="10"/>
        <v>751.53599999999994</v>
      </c>
      <c r="N656" s="2" t="str">
        <f>IF(Tabla1[[#This Row],[Aprobación_Veterinaria]]=1,"APROBADO","NO APROBADO")</f>
        <v>APROBADO</v>
      </c>
      <c r="O656" t="str">
        <f>IF(Tabla1[[#This Row],[Repite compra?]]=1,"REPITE","NO REPITE")</f>
        <v>REPITE</v>
      </c>
      <c r="P656" t="str">
        <f>IF(Tabla1[[#This Row],[rating_segun encuesta a Consumidor]]&lt;5,"Regular",IF(Tabla1[[#This Row],[rating_segun encuesta a Consumidor]]&gt;8,"Excelente","Bueno"))</f>
        <v>Bueno</v>
      </c>
    </row>
    <row r="657" spans="1:16" x14ac:dyDescent="0.35">
      <c r="A657" s="1">
        <v>43955</v>
      </c>
      <c r="B657">
        <v>4979</v>
      </c>
      <c r="C657" t="s">
        <v>20</v>
      </c>
      <c r="D657">
        <v>76</v>
      </c>
      <c r="E657">
        <v>99.444000000000003</v>
      </c>
      <c r="F657">
        <v>1</v>
      </c>
      <c r="G657" t="s">
        <v>33</v>
      </c>
      <c r="H657" t="s">
        <v>54</v>
      </c>
      <c r="I657" t="s">
        <v>41</v>
      </c>
      <c r="J657" t="s">
        <v>49</v>
      </c>
      <c r="K657">
        <v>6</v>
      </c>
      <c r="L657">
        <v>0</v>
      </c>
      <c r="M657" s="2">
        <f t="shared" si="10"/>
        <v>7557.7440000000006</v>
      </c>
      <c r="N657" s="2" t="str">
        <f>IF(Tabla1[[#This Row],[Aprobación_Veterinaria]]=1,"APROBADO","NO APROBADO")</f>
        <v>APROBADO</v>
      </c>
      <c r="O657" t="str">
        <f>IF(Tabla1[[#This Row],[Repite compra?]]=1,"REPITE","NO REPITE")</f>
        <v>NO REPITE</v>
      </c>
      <c r="P657" t="str">
        <f>IF(Tabla1[[#This Row],[rating_segun encuesta a Consumidor]]&lt;5,"Regular",IF(Tabla1[[#This Row],[rating_segun encuesta a Consumidor]]&gt;8,"Excelente","Bueno"))</f>
        <v>Bueno</v>
      </c>
    </row>
    <row r="658" spans="1:16" x14ac:dyDescent="0.35">
      <c r="A658" s="1">
        <v>44140</v>
      </c>
      <c r="B658">
        <v>4669</v>
      </c>
      <c r="C658" t="s">
        <v>51</v>
      </c>
      <c r="D658">
        <v>78</v>
      </c>
      <c r="E658">
        <v>223.70400000000001</v>
      </c>
      <c r="F658">
        <v>1</v>
      </c>
      <c r="G658" t="s">
        <v>34</v>
      </c>
      <c r="H658" t="s">
        <v>22</v>
      </c>
      <c r="I658" t="s">
        <v>28</v>
      </c>
      <c r="J658" t="s">
        <v>23</v>
      </c>
      <c r="K658">
        <v>10</v>
      </c>
      <c r="L658">
        <v>1</v>
      </c>
      <c r="M658" s="2">
        <f t="shared" si="10"/>
        <v>17448.912</v>
      </c>
      <c r="N658" s="2" t="str">
        <f>IF(Tabla1[[#This Row],[Aprobación_Veterinaria]]=1,"APROBADO","NO APROBADO")</f>
        <v>APROBADO</v>
      </c>
      <c r="O658" t="str">
        <f>IF(Tabla1[[#This Row],[Repite compra?]]=1,"REPITE","NO REPITE")</f>
        <v>REPITE</v>
      </c>
      <c r="P658" t="str">
        <f>IF(Tabla1[[#This Row],[rating_segun encuesta a Consumidor]]&lt;5,"Regular",IF(Tabla1[[#This Row],[rating_segun encuesta a Consumidor]]&gt;8,"Excelente","Bueno"))</f>
        <v>Excelente</v>
      </c>
    </row>
    <row r="659" spans="1:16" x14ac:dyDescent="0.35">
      <c r="A659" s="1">
        <v>43958</v>
      </c>
      <c r="B659">
        <v>4886</v>
      </c>
      <c r="C659" t="s">
        <v>20</v>
      </c>
      <c r="D659">
        <v>11</v>
      </c>
      <c r="E659">
        <v>104.988</v>
      </c>
      <c r="F659">
        <v>1</v>
      </c>
      <c r="G659" t="s">
        <v>36</v>
      </c>
      <c r="H659" t="s">
        <v>48</v>
      </c>
      <c r="I659" t="s">
        <v>18</v>
      </c>
      <c r="J659" t="s">
        <v>29</v>
      </c>
      <c r="K659">
        <v>6</v>
      </c>
      <c r="L659">
        <v>0</v>
      </c>
      <c r="M659" s="2">
        <f t="shared" si="10"/>
        <v>1154.8679999999999</v>
      </c>
      <c r="N659" s="2" t="str">
        <f>IF(Tabla1[[#This Row],[Aprobación_Veterinaria]]=1,"APROBADO","NO APROBADO")</f>
        <v>APROBADO</v>
      </c>
      <c r="O659" t="str">
        <f>IF(Tabla1[[#This Row],[Repite compra?]]=1,"REPITE","NO REPITE")</f>
        <v>NO REPITE</v>
      </c>
      <c r="P659" t="str">
        <f>IF(Tabla1[[#This Row],[rating_segun encuesta a Consumidor]]&lt;5,"Regular",IF(Tabla1[[#This Row],[rating_segun encuesta a Consumidor]]&gt;8,"Excelente","Bueno"))</f>
        <v>Bueno</v>
      </c>
    </row>
    <row r="660" spans="1:16" x14ac:dyDescent="0.35">
      <c r="A660" s="1">
        <v>44027</v>
      </c>
      <c r="B660">
        <v>4704</v>
      </c>
      <c r="C660" t="s">
        <v>43</v>
      </c>
      <c r="D660">
        <v>5</v>
      </c>
      <c r="E660">
        <v>228.22800000000001</v>
      </c>
      <c r="F660">
        <v>1</v>
      </c>
      <c r="G660" t="s">
        <v>37</v>
      </c>
      <c r="H660" t="s">
        <v>54</v>
      </c>
      <c r="I660" t="s">
        <v>28</v>
      </c>
      <c r="J660" t="s">
        <v>29</v>
      </c>
      <c r="K660">
        <v>10</v>
      </c>
      <c r="L660">
        <v>0</v>
      </c>
      <c r="M660" s="2">
        <f t="shared" si="10"/>
        <v>1141.1400000000001</v>
      </c>
      <c r="N660" s="2" t="str">
        <f>IF(Tabla1[[#This Row],[Aprobación_Veterinaria]]=1,"APROBADO","NO APROBADO")</f>
        <v>APROBADO</v>
      </c>
      <c r="O660" t="str">
        <f>IF(Tabla1[[#This Row],[Repite compra?]]=1,"REPITE","NO REPITE")</f>
        <v>NO REPITE</v>
      </c>
      <c r="P660" t="str">
        <f>IF(Tabla1[[#This Row],[rating_segun encuesta a Consumidor]]&lt;5,"Regular",IF(Tabla1[[#This Row],[rating_segun encuesta a Consumidor]]&gt;8,"Excelente","Bueno"))</f>
        <v>Excelente</v>
      </c>
    </row>
    <row r="661" spans="1:16" x14ac:dyDescent="0.35">
      <c r="A661" s="1">
        <v>44131</v>
      </c>
      <c r="B661">
        <v>4773</v>
      </c>
      <c r="C661" t="s">
        <v>15</v>
      </c>
      <c r="D661">
        <v>27</v>
      </c>
      <c r="E661">
        <v>221.04</v>
      </c>
      <c r="F661">
        <v>1</v>
      </c>
      <c r="G661" t="s">
        <v>40</v>
      </c>
      <c r="H661" t="s">
        <v>50</v>
      </c>
      <c r="I661" t="s">
        <v>41</v>
      </c>
      <c r="J661" t="s">
        <v>23</v>
      </c>
      <c r="K661">
        <v>7</v>
      </c>
      <c r="L661">
        <v>0</v>
      </c>
      <c r="M661" s="2">
        <f t="shared" si="10"/>
        <v>5968.08</v>
      </c>
      <c r="N661" s="2" t="str">
        <f>IF(Tabla1[[#This Row],[Aprobación_Veterinaria]]=1,"APROBADO","NO APROBADO")</f>
        <v>APROBADO</v>
      </c>
      <c r="O661" t="str">
        <f>IF(Tabla1[[#This Row],[Repite compra?]]=1,"REPITE","NO REPITE")</f>
        <v>NO REPITE</v>
      </c>
      <c r="P661" t="str">
        <f>IF(Tabla1[[#This Row],[rating_segun encuesta a Consumidor]]&lt;5,"Regular",IF(Tabla1[[#This Row],[rating_segun encuesta a Consumidor]]&gt;8,"Excelente","Bueno"))</f>
        <v>Bueno</v>
      </c>
    </row>
    <row r="662" spans="1:16" x14ac:dyDescent="0.35">
      <c r="A662" s="1">
        <v>43877</v>
      </c>
      <c r="B662">
        <v>4815</v>
      </c>
      <c r="C662" t="s">
        <v>15</v>
      </c>
      <c r="D662">
        <v>18</v>
      </c>
      <c r="E662">
        <v>86.135999999999996</v>
      </c>
      <c r="F662">
        <v>0</v>
      </c>
      <c r="G662" t="s">
        <v>16</v>
      </c>
      <c r="H662" t="s">
        <v>44</v>
      </c>
      <c r="I662" t="s">
        <v>41</v>
      </c>
      <c r="J662" t="s">
        <v>23</v>
      </c>
      <c r="K662">
        <v>2</v>
      </c>
      <c r="L662">
        <v>1</v>
      </c>
      <c r="M662" s="2">
        <f t="shared" si="10"/>
        <v>1550.4479999999999</v>
      </c>
      <c r="N662" s="2" t="str">
        <f>IF(Tabla1[[#This Row],[Aprobación_Veterinaria]]=1,"APROBADO","NO APROBADO")</f>
        <v>NO APROBADO</v>
      </c>
      <c r="O662" t="str">
        <f>IF(Tabla1[[#This Row],[Repite compra?]]=1,"REPITE","NO REPITE")</f>
        <v>REPITE</v>
      </c>
      <c r="P662" t="str">
        <f>IF(Tabla1[[#This Row],[rating_segun encuesta a Consumidor]]&lt;5,"Regular",IF(Tabla1[[#This Row],[rating_segun encuesta a Consumidor]]&gt;8,"Excelente","Bueno"))</f>
        <v>Regular</v>
      </c>
    </row>
    <row r="663" spans="1:16" x14ac:dyDescent="0.35">
      <c r="A663" s="1">
        <v>44171</v>
      </c>
      <c r="B663">
        <v>4802</v>
      </c>
      <c r="C663" t="s">
        <v>20</v>
      </c>
      <c r="D663">
        <v>66</v>
      </c>
      <c r="E663">
        <v>95.832000000000008</v>
      </c>
      <c r="F663">
        <v>0</v>
      </c>
      <c r="G663" t="s">
        <v>21</v>
      </c>
      <c r="H663" t="s">
        <v>38</v>
      </c>
      <c r="I663" t="s">
        <v>18</v>
      </c>
      <c r="J663" t="s">
        <v>29</v>
      </c>
      <c r="K663">
        <v>7</v>
      </c>
      <c r="L663">
        <v>1</v>
      </c>
      <c r="M663" s="2">
        <f t="shared" si="10"/>
        <v>6324.9120000000003</v>
      </c>
      <c r="N663" s="2" t="str">
        <f>IF(Tabla1[[#This Row],[Aprobación_Veterinaria]]=1,"APROBADO","NO APROBADO")</f>
        <v>NO APROBADO</v>
      </c>
      <c r="O663" t="str">
        <f>IF(Tabla1[[#This Row],[Repite compra?]]=1,"REPITE","NO REPITE")</f>
        <v>REPITE</v>
      </c>
      <c r="P663" t="str">
        <f>IF(Tabla1[[#This Row],[rating_segun encuesta a Consumidor]]&lt;5,"Regular",IF(Tabla1[[#This Row],[rating_segun encuesta a Consumidor]]&gt;8,"Excelente","Bueno"))</f>
        <v>Bueno</v>
      </c>
    </row>
    <row r="664" spans="1:16" x14ac:dyDescent="0.35">
      <c r="A664" s="1">
        <v>44090</v>
      </c>
      <c r="B664">
        <v>4644</v>
      </c>
      <c r="C664" t="s">
        <v>20</v>
      </c>
      <c r="D664">
        <v>217</v>
      </c>
      <c r="E664">
        <v>61.2</v>
      </c>
      <c r="F664">
        <v>0</v>
      </c>
      <c r="G664" t="s">
        <v>24</v>
      </c>
      <c r="H664" t="s">
        <v>22</v>
      </c>
      <c r="I664" t="s">
        <v>28</v>
      </c>
      <c r="J664" t="s">
        <v>29</v>
      </c>
      <c r="K664">
        <v>10</v>
      </c>
      <c r="L664">
        <v>0</v>
      </c>
      <c r="M664" s="2">
        <f t="shared" si="10"/>
        <v>13280.400000000001</v>
      </c>
      <c r="N664" s="2" t="str">
        <f>IF(Tabla1[[#This Row],[Aprobación_Veterinaria]]=1,"APROBADO","NO APROBADO")</f>
        <v>NO APROBADO</v>
      </c>
      <c r="O664" t="str">
        <f>IF(Tabla1[[#This Row],[Repite compra?]]=1,"REPITE","NO REPITE")</f>
        <v>NO REPITE</v>
      </c>
      <c r="P664" t="str">
        <f>IF(Tabla1[[#This Row],[rating_segun encuesta a Consumidor]]&lt;5,"Regular",IF(Tabla1[[#This Row],[rating_segun encuesta a Consumidor]]&gt;8,"Excelente","Bueno"))</f>
        <v>Excelente</v>
      </c>
    </row>
    <row r="665" spans="1:16" x14ac:dyDescent="0.35">
      <c r="A665" s="1">
        <v>43942</v>
      </c>
      <c r="B665">
        <v>4257</v>
      </c>
      <c r="C665" t="s">
        <v>32</v>
      </c>
      <c r="D665">
        <v>91</v>
      </c>
      <c r="E665">
        <v>136.99199999999999</v>
      </c>
      <c r="F665">
        <v>1</v>
      </c>
      <c r="G665" t="s">
        <v>27</v>
      </c>
      <c r="H665" t="s">
        <v>22</v>
      </c>
      <c r="I665" t="s">
        <v>18</v>
      </c>
      <c r="J665" t="s">
        <v>23</v>
      </c>
      <c r="K665">
        <v>10</v>
      </c>
      <c r="L665">
        <v>1</v>
      </c>
      <c r="M665" s="2">
        <f t="shared" si="10"/>
        <v>12466.271999999999</v>
      </c>
      <c r="N665" s="2" t="str">
        <f>IF(Tabla1[[#This Row],[Aprobación_Veterinaria]]=1,"APROBADO","NO APROBADO")</f>
        <v>APROBADO</v>
      </c>
      <c r="O665" t="str">
        <f>IF(Tabla1[[#This Row],[Repite compra?]]=1,"REPITE","NO REPITE")</f>
        <v>REPITE</v>
      </c>
      <c r="P665" t="str">
        <f>IF(Tabla1[[#This Row],[rating_segun encuesta a Consumidor]]&lt;5,"Regular",IF(Tabla1[[#This Row],[rating_segun encuesta a Consumidor]]&gt;8,"Excelente","Bueno"))</f>
        <v>Excelente</v>
      </c>
    </row>
    <row r="666" spans="1:16" x14ac:dyDescent="0.35">
      <c r="A666" s="1">
        <v>44095</v>
      </c>
      <c r="B666">
        <v>4471</v>
      </c>
      <c r="C666" t="s">
        <v>51</v>
      </c>
      <c r="D666">
        <v>216</v>
      </c>
      <c r="E666">
        <v>174.56399999999999</v>
      </c>
      <c r="F666">
        <v>0</v>
      </c>
      <c r="G666" t="s">
        <v>31</v>
      </c>
      <c r="H666" t="s">
        <v>22</v>
      </c>
      <c r="I666" t="s">
        <v>45</v>
      </c>
      <c r="J666" t="s">
        <v>23</v>
      </c>
      <c r="K666">
        <v>9</v>
      </c>
      <c r="L666">
        <v>0</v>
      </c>
      <c r="M666" s="2">
        <f t="shared" si="10"/>
        <v>37705.824000000001</v>
      </c>
      <c r="N666" s="2" t="str">
        <f>IF(Tabla1[[#This Row],[Aprobación_Veterinaria]]=1,"APROBADO","NO APROBADO")</f>
        <v>NO APROBADO</v>
      </c>
      <c r="O666" t="str">
        <f>IF(Tabla1[[#This Row],[Repite compra?]]=1,"REPITE","NO REPITE")</f>
        <v>NO REPITE</v>
      </c>
      <c r="P666" t="str">
        <f>IF(Tabla1[[#This Row],[rating_segun encuesta a Consumidor]]&lt;5,"Regular",IF(Tabla1[[#This Row],[rating_segun encuesta a Consumidor]]&gt;8,"Excelente","Bueno"))</f>
        <v>Excelente</v>
      </c>
    </row>
    <row r="667" spans="1:16" x14ac:dyDescent="0.35">
      <c r="A667" s="1">
        <v>43998</v>
      </c>
      <c r="B667">
        <v>4896</v>
      </c>
      <c r="C667" t="s">
        <v>15</v>
      </c>
      <c r="D667">
        <v>5</v>
      </c>
      <c r="E667">
        <v>206.172</v>
      </c>
      <c r="F667">
        <v>0</v>
      </c>
      <c r="G667" t="s">
        <v>33</v>
      </c>
      <c r="H667" t="s">
        <v>48</v>
      </c>
      <c r="I667" t="s">
        <v>18</v>
      </c>
      <c r="J667" t="s">
        <v>29</v>
      </c>
      <c r="K667">
        <v>6</v>
      </c>
      <c r="L667">
        <v>0</v>
      </c>
      <c r="M667" s="2">
        <f t="shared" si="10"/>
        <v>1030.8599999999999</v>
      </c>
      <c r="N667" s="2" t="str">
        <f>IF(Tabla1[[#This Row],[Aprobación_Veterinaria]]=1,"APROBADO","NO APROBADO")</f>
        <v>NO APROBADO</v>
      </c>
      <c r="O667" t="str">
        <f>IF(Tabla1[[#This Row],[Repite compra?]]=1,"REPITE","NO REPITE")</f>
        <v>NO REPITE</v>
      </c>
      <c r="P667" t="str">
        <f>IF(Tabla1[[#This Row],[rating_segun encuesta a Consumidor]]&lt;5,"Regular",IF(Tabla1[[#This Row],[rating_segun encuesta a Consumidor]]&gt;8,"Excelente","Bueno"))</f>
        <v>Bueno</v>
      </c>
    </row>
    <row r="668" spans="1:16" x14ac:dyDescent="0.35">
      <c r="A668" s="1">
        <v>44093</v>
      </c>
      <c r="B668">
        <v>4180</v>
      </c>
      <c r="C668" t="s">
        <v>32</v>
      </c>
      <c r="D668">
        <v>195</v>
      </c>
      <c r="E668">
        <v>191.124</v>
      </c>
      <c r="F668">
        <v>1</v>
      </c>
      <c r="G668" t="s">
        <v>34</v>
      </c>
      <c r="H668" t="s">
        <v>22</v>
      </c>
      <c r="I668" t="s">
        <v>35</v>
      </c>
      <c r="J668" t="s">
        <v>53</v>
      </c>
      <c r="K668">
        <v>1</v>
      </c>
      <c r="L668">
        <v>1</v>
      </c>
      <c r="M668" s="2">
        <f t="shared" si="10"/>
        <v>37269.18</v>
      </c>
      <c r="N668" s="2" t="str">
        <f>IF(Tabla1[[#This Row],[Aprobación_Veterinaria]]=1,"APROBADO","NO APROBADO")</f>
        <v>APROBADO</v>
      </c>
      <c r="O668" t="str">
        <f>IF(Tabla1[[#This Row],[Repite compra?]]=1,"REPITE","NO REPITE")</f>
        <v>REPITE</v>
      </c>
      <c r="P668" t="str">
        <f>IF(Tabla1[[#This Row],[rating_segun encuesta a Consumidor]]&lt;5,"Regular",IF(Tabla1[[#This Row],[rating_segun encuesta a Consumidor]]&gt;8,"Excelente","Bueno"))</f>
        <v>Regular</v>
      </c>
    </row>
    <row r="669" spans="1:16" x14ac:dyDescent="0.35">
      <c r="A669" s="1">
        <v>44054</v>
      </c>
      <c r="B669">
        <v>4172</v>
      </c>
      <c r="C669" t="s">
        <v>39</v>
      </c>
      <c r="D669">
        <v>210</v>
      </c>
      <c r="E669">
        <v>142.20000000000002</v>
      </c>
      <c r="F669">
        <v>1</v>
      </c>
      <c r="G669" t="s">
        <v>36</v>
      </c>
      <c r="H669" t="s">
        <v>22</v>
      </c>
      <c r="I669" t="s">
        <v>18</v>
      </c>
      <c r="J669" t="s">
        <v>29</v>
      </c>
      <c r="K669">
        <v>5</v>
      </c>
      <c r="L669">
        <v>0</v>
      </c>
      <c r="M669" s="2">
        <f t="shared" si="10"/>
        <v>29862.000000000004</v>
      </c>
      <c r="N669" s="2" t="str">
        <f>IF(Tabla1[[#This Row],[Aprobación_Veterinaria]]=1,"APROBADO","NO APROBADO")</f>
        <v>APROBADO</v>
      </c>
      <c r="O669" t="str">
        <f>IF(Tabla1[[#This Row],[Repite compra?]]=1,"REPITE","NO REPITE")</f>
        <v>NO REPITE</v>
      </c>
      <c r="P669" t="str">
        <f>IF(Tabla1[[#This Row],[rating_segun encuesta a Consumidor]]&lt;5,"Regular",IF(Tabla1[[#This Row],[rating_segun encuesta a Consumidor]]&gt;8,"Excelente","Bueno"))</f>
        <v>Bueno</v>
      </c>
    </row>
    <row r="670" spans="1:16" x14ac:dyDescent="0.35">
      <c r="A670" s="1">
        <v>43904</v>
      </c>
      <c r="B670">
        <v>4249</v>
      </c>
      <c r="C670" t="s">
        <v>39</v>
      </c>
      <c r="D670">
        <v>56</v>
      </c>
      <c r="E670">
        <v>153.048</v>
      </c>
      <c r="F670">
        <v>0</v>
      </c>
      <c r="G670" t="s">
        <v>37</v>
      </c>
      <c r="H670" t="s">
        <v>22</v>
      </c>
      <c r="I670" t="s">
        <v>28</v>
      </c>
      <c r="J670" t="s">
        <v>25</v>
      </c>
      <c r="K670">
        <v>9</v>
      </c>
      <c r="L670">
        <v>1</v>
      </c>
      <c r="M670" s="2">
        <f t="shared" si="10"/>
        <v>8570.6880000000001</v>
      </c>
      <c r="N670" s="2" t="str">
        <f>IF(Tabla1[[#This Row],[Aprobación_Veterinaria]]=1,"APROBADO","NO APROBADO")</f>
        <v>NO APROBADO</v>
      </c>
      <c r="O670" t="str">
        <f>IF(Tabla1[[#This Row],[Repite compra?]]=1,"REPITE","NO REPITE")</f>
        <v>REPITE</v>
      </c>
      <c r="P670" t="str">
        <f>IF(Tabla1[[#This Row],[rating_segun encuesta a Consumidor]]&lt;5,"Regular",IF(Tabla1[[#This Row],[rating_segun encuesta a Consumidor]]&gt;8,"Excelente","Bueno"))</f>
        <v>Excelente</v>
      </c>
    </row>
    <row r="671" spans="1:16" x14ac:dyDescent="0.35">
      <c r="A671" s="1">
        <v>44057</v>
      </c>
      <c r="B671">
        <v>4841</v>
      </c>
      <c r="C671" t="s">
        <v>20</v>
      </c>
      <c r="D671">
        <v>78</v>
      </c>
      <c r="E671">
        <v>151.11600000000001</v>
      </c>
      <c r="F671">
        <v>1</v>
      </c>
      <c r="G671" t="s">
        <v>40</v>
      </c>
      <c r="H671" t="s">
        <v>48</v>
      </c>
      <c r="I671" t="s">
        <v>41</v>
      </c>
      <c r="J671" t="s">
        <v>23</v>
      </c>
      <c r="K671">
        <v>1</v>
      </c>
      <c r="L671">
        <v>1</v>
      </c>
      <c r="M671" s="2">
        <f t="shared" si="10"/>
        <v>11787.048000000001</v>
      </c>
      <c r="N671" s="2" t="str">
        <f>IF(Tabla1[[#This Row],[Aprobación_Veterinaria]]=1,"APROBADO","NO APROBADO")</f>
        <v>APROBADO</v>
      </c>
      <c r="O671" t="str">
        <f>IF(Tabla1[[#This Row],[Repite compra?]]=1,"REPITE","NO REPITE")</f>
        <v>REPITE</v>
      </c>
      <c r="P671" t="str">
        <f>IF(Tabla1[[#This Row],[rating_segun encuesta a Consumidor]]&lt;5,"Regular",IF(Tabla1[[#This Row],[rating_segun encuesta a Consumidor]]&gt;8,"Excelente","Bueno"))</f>
        <v>Regular</v>
      </c>
    </row>
    <row r="672" spans="1:16" x14ac:dyDescent="0.35">
      <c r="A672" s="1">
        <v>44188</v>
      </c>
      <c r="B672">
        <v>4226</v>
      </c>
      <c r="C672" t="s">
        <v>20</v>
      </c>
      <c r="D672">
        <v>11</v>
      </c>
      <c r="E672">
        <v>153.45600000000002</v>
      </c>
      <c r="F672">
        <v>1</v>
      </c>
      <c r="G672" t="s">
        <v>16</v>
      </c>
      <c r="H672" t="s">
        <v>22</v>
      </c>
      <c r="I672" t="s">
        <v>45</v>
      </c>
      <c r="J672" t="s">
        <v>29</v>
      </c>
      <c r="K672">
        <v>3</v>
      </c>
      <c r="L672">
        <v>0</v>
      </c>
      <c r="M672" s="2">
        <f t="shared" si="10"/>
        <v>1688.0160000000001</v>
      </c>
      <c r="N672" s="2" t="str">
        <f>IF(Tabla1[[#This Row],[Aprobación_Veterinaria]]=1,"APROBADO","NO APROBADO")</f>
        <v>APROBADO</v>
      </c>
      <c r="O672" t="str">
        <f>IF(Tabla1[[#This Row],[Repite compra?]]=1,"REPITE","NO REPITE")</f>
        <v>NO REPITE</v>
      </c>
      <c r="P672" t="str">
        <f>IF(Tabla1[[#This Row],[rating_segun encuesta a Consumidor]]&lt;5,"Regular",IF(Tabla1[[#This Row],[rating_segun encuesta a Consumidor]]&gt;8,"Excelente","Bueno"))</f>
        <v>Regular</v>
      </c>
    </row>
    <row r="673" spans="1:16" x14ac:dyDescent="0.35">
      <c r="A673" s="1">
        <v>43970</v>
      </c>
      <c r="B673">
        <v>4548</v>
      </c>
      <c r="C673" t="s">
        <v>51</v>
      </c>
      <c r="D673">
        <v>138</v>
      </c>
      <c r="E673">
        <v>182.67600000000002</v>
      </c>
      <c r="F673">
        <v>0</v>
      </c>
      <c r="G673" t="s">
        <v>21</v>
      </c>
      <c r="H673" t="s">
        <v>22</v>
      </c>
      <c r="I673" t="s">
        <v>41</v>
      </c>
      <c r="J673" t="s">
        <v>29</v>
      </c>
      <c r="K673">
        <v>10</v>
      </c>
      <c r="L673">
        <v>1</v>
      </c>
      <c r="M673" s="2">
        <f t="shared" si="10"/>
        <v>25209.288</v>
      </c>
      <c r="N673" s="2" t="str">
        <f>IF(Tabla1[[#This Row],[Aprobación_Veterinaria]]=1,"APROBADO","NO APROBADO")</f>
        <v>NO APROBADO</v>
      </c>
      <c r="O673" t="str">
        <f>IF(Tabla1[[#This Row],[Repite compra?]]=1,"REPITE","NO REPITE")</f>
        <v>REPITE</v>
      </c>
      <c r="P673" t="str">
        <f>IF(Tabla1[[#This Row],[rating_segun encuesta a Consumidor]]&lt;5,"Regular",IF(Tabla1[[#This Row],[rating_segun encuesta a Consumidor]]&gt;8,"Excelente","Bueno"))</f>
        <v>Excelente</v>
      </c>
    </row>
    <row r="674" spans="1:16" x14ac:dyDescent="0.35">
      <c r="A674" s="1">
        <v>43868</v>
      </c>
      <c r="B674">
        <v>4472</v>
      </c>
      <c r="C674" t="s">
        <v>47</v>
      </c>
      <c r="D674">
        <v>28</v>
      </c>
      <c r="E674">
        <v>1.4040000000000001</v>
      </c>
      <c r="F674">
        <v>1</v>
      </c>
      <c r="G674" t="s">
        <v>24</v>
      </c>
      <c r="H674" t="s">
        <v>22</v>
      </c>
      <c r="I674" t="s">
        <v>18</v>
      </c>
      <c r="J674" t="s">
        <v>29</v>
      </c>
      <c r="K674">
        <v>4</v>
      </c>
      <c r="L674">
        <v>0</v>
      </c>
      <c r="M674" s="2">
        <f t="shared" si="10"/>
        <v>39.312000000000005</v>
      </c>
      <c r="N674" s="2" t="str">
        <f>IF(Tabla1[[#This Row],[Aprobación_Veterinaria]]=1,"APROBADO","NO APROBADO")</f>
        <v>APROBADO</v>
      </c>
      <c r="O674" t="str">
        <f>IF(Tabla1[[#This Row],[Repite compra?]]=1,"REPITE","NO REPITE")</f>
        <v>NO REPITE</v>
      </c>
      <c r="P674" t="str">
        <f>IF(Tabla1[[#This Row],[rating_segun encuesta a Consumidor]]&lt;5,"Regular",IF(Tabla1[[#This Row],[rating_segun encuesta a Consumidor]]&gt;8,"Excelente","Bueno"))</f>
        <v>Regular</v>
      </c>
    </row>
    <row r="675" spans="1:16" x14ac:dyDescent="0.35">
      <c r="A675" s="1">
        <v>43972</v>
      </c>
      <c r="B675">
        <v>4212</v>
      </c>
      <c r="C675" t="s">
        <v>46</v>
      </c>
      <c r="D675">
        <v>196</v>
      </c>
      <c r="E675">
        <v>221.85599999999999</v>
      </c>
      <c r="F675">
        <v>0</v>
      </c>
      <c r="G675" t="s">
        <v>27</v>
      </c>
      <c r="H675" t="s">
        <v>22</v>
      </c>
      <c r="I675" t="s">
        <v>18</v>
      </c>
      <c r="J675" t="s">
        <v>49</v>
      </c>
      <c r="K675">
        <v>6</v>
      </c>
      <c r="L675">
        <v>1</v>
      </c>
      <c r="M675" s="2">
        <f t="shared" si="10"/>
        <v>43483.775999999998</v>
      </c>
      <c r="N675" s="2" t="str">
        <f>IF(Tabla1[[#This Row],[Aprobación_Veterinaria]]=1,"APROBADO","NO APROBADO")</f>
        <v>NO APROBADO</v>
      </c>
      <c r="O675" t="str">
        <f>IF(Tabla1[[#This Row],[Repite compra?]]=1,"REPITE","NO REPITE")</f>
        <v>REPITE</v>
      </c>
      <c r="P675" t="str">
        <f>IF(Tabla1[[#This Row],[rating_segun encuesta a Consumidor]]&lt;5,"Regular",IF(Tabla1[[#This Row],[rating_segun encuesta a Consumidor]]&gt;8,"Excelente","Bueno"))</f>
        <v>Bueno</v>
      </c>
    </row>
    <row r="676" spans="1:16" x14ac:dyDescent="0.35">
      <c r="A676" s="1">
        <v>43993</v>
      </c>
      <c r="B676">
        <v>4572</v>
      </c>
      <c r="C676" t="s">
        <v>43</v>
      </c>
      <c r="D676">
        <v>49</v>
      </c>
      <c r="E676">
        <v>110.004</v>
      </c>
      <c r="F676">
        <v>0</v>
      </c>
      <c r="G676" t="s">
        <v>31</v>
      </c>
      <c r="H676" t="s">
        <v>22</v>
      </c>
      <c r="I676" t="s">
        <v>18</v>
      </c>
      <c r="J676" t="s">
        <v>29</v>
      </c>
      <c r="K676">
        <v>10</v>
      </c>
      <c r="L676">
        <v>1</v>
      </c>
      <c r="M676" s="2">
        <f t="shared" si="10"/>
        <v>5390.1959999999999</v>
      </c>
      <c r="N676" s="2" t="str">
        <f>IF(Tabla1[[#This Row],[Aprobación_Veterinaria]]=1,"APROBADO","NO APROBADO")</f>
        <v>NO APROBADO</v>
      </c>
      <c r="O676" t="str">
        <f>IF(Tabla1[[#This Row],[Repite compra?]]=1,"REPITE","NO REPITE")</f>
        <v>REPITE</v>
      </c>
      <c r="P676" t="str">
        <f>IF(Tabla1[[#This Row],[rating_segun encuesta a Consumidor]]&lt;5,"Regular",IF(Tabla1[[#This Row],[rating_segun encuesta a Consumidor]]&gt;8,"Excelente","Bueno"))</f>
        <v>Excelente</v>
      </c>
    </row>
    <row r="677" spans="1:16" x14ac:dyDescent="0.35">
      <c r="A677" s="1">
        <v>44142</v>
      </c>
      <c r="B677">
        <v>4422</v>
      </c>
      <c r="C677" t="s">
        <v>32</v>
      </c>
      <c r="D677">
        <v>194</v>
      </c>
      <c r="E677">
        <v>99.012</v>
      </c>
      <c r="F677">
        <v>0</v>
      </c>
      <c r="G677" t="s">
        <v>33</v>
      </c>
      <c r="H677" t="s">
        <v>22</v>
      </c>
      <c r="I677" t="s">
        <v>18</v>
      </c>
      <c r="J677" t="s">
        <v>29</v>
      </c>
      <c r="K677">
        <v>2</v>
      </c>
      <c r="L677">
        <v>1</v>
      </c>
      <c r="M677" s="2">
        <f t="shared" si="10"/>
        <v>19208.328000000001</v>
      </c>
      <c r="N677" s="2" t="str">
        <f>IF(Tabla1[[#This Row],[Aprobación_Veterinaria]]=1,"APROBADO","NO APROBADO")</f>
        <v>NO APROBADO</v>
      </c>
      <c r="O677" t="str">
        <f>IF(Tabla1[[#This Row],[Repite compra?]]=1,"REPITE","NO REPITE")</f>
        <v>REPITE</v>
      </c>
      <c r="P677" t="str">
        <f>IF(Tabla1[[#This Row],[rating_segun encuesta a Consumidor]]&lt;5,"Regular",IF(Tabla1[[#This Row],[rating_segun encuesta a Consumidor]]&gt;8,"Excelente","Bueno"))</f>
        <v>Regular</v>
      </c>
    </row>
    <row r="678" spans="1:16" x14ac:dyDescent="0.35">
      <c r="A678" s="1">
        <v>44177</v>
      </c>
      <c r="B678">
        <v>5002</v>
      </c>
      <c r="C678" t="s">
        <v>26</v>
      </c>
      <c r="D678">
        <v>43</v>
      </c>
      <c r="E678">
        <v>54.84</v>
      </c>
      <c r="F678">
        <v>0</v>
      </c>
      <c r="G678" t="s">
        <v>34</v>
      </c>
      <c r="H678" t="s">
        <v>38</v>
      </c>
      <c r="I678" t="s">
        <v>18</v>
      </c>
      <c r="J678" t="s">
        <v>19</v>
      </c>
      <c r="K678">
        <v>6</v>
      </c>
      <c r="L678">
        <v>0</v>
      </c>
      <c r="M678" s="2">
        <f t="shared" si="10"/>
        <v>2358.1200000000003</v>
      </c>
      <c r="N678" s="2" t="str">
        <f>IF(Tabla1[[#This Row],[Aprobación_Veterinaria]]=1,"APROBADO","NO APROBADO")</f>
        <v>NO APROBADO</v>
      </c>
      <c r="O678" t="str">
        <f>IF(Tabla1[[#This Row],[Repite compra?]]=1,"REPITE","NO REPITE")</f>
        <v>NO REPITE</v>
      </c>
      <c r="P678" t="str">
        <f>IF(Tabla1[[#This Row],[rating_segun encuesta a Consumidor]]&lt;5,"Regular",IF(Tabla1[[#This Row],[rating_segun encuesta a Consumidor]]&gt;8,"Excelente","Bueno"))</f>
        <v>Bueno</v>
      </c>
    </row>
    <row r="679" spans="1:16" x14ac:dyDescent="0.35">
      <c r="A679" s="1">
        <v>44032</v>
      </c>
      <c r="B679">
        <v>4479</v>
      </c>
      <c r="C679" t="s">
        <v>20</v>
      </c>
      <c r="D679">
        <v>194</v>
      </c>
      <c r="E679">
        <v>191.916</v>
      </c>
      <c r="F679">
        <v>0</v>
      </c>
      <c r="G679" t="s">
        <v>36</v>
      </c>
      <c r="H679" t="s">
        <v>22</v>
      </c>
      <c r="I679" t="s">
        <v>28</v>
      </c>
      <c r="J679" t="s">
        <v>23</v>
      </c>
      <c r="K679">
        <v>4</v>
      </c>
      <c r="L679">
        <v>1</v>
      </c>
      <c r="M679" s="2">
        <f t="shared" si="10"/>
        <v>37231.703999999998</v>
      </c>
      <c r="N679" s="2" t="str">
        <f>IF(Tabla1[[#This Row],[Aprobación_Veterinaria]]=1,"APROBADO","NO APROBADO")</f>
        <v>NO APROBADO</v>
      </c>
      <c r="O679" t="str">
        <f>IF(Tabla1[[#This Row],[Repite compra?]]=1,"REPITE","NO REPITE")</f>
        <v>REPITE</v>
      </c>
      <c r="P679" t="str">
        <f>IF(Tabla1[[#This Row],[rating_segun encuesta a Consumidor]]&lt;5,"Regular",IF(Tabla1[[#This Row],[rating_segun encuesta a Consumidor]]&gt;8,"Excelente","Bueno"))</f>
        <v>Regular</v>
      </c>
    </row>
    <row r="680" spans="1:16" x14ac:dyDescent="0.35">
      <c r="A680" s="1">
        <v>44041</v>
      </c>
      <c r="B680">
        <v>4209</v>
      </c>
      <c r="C680" t="s">
        <v>43</v>
      </c>
      <c r="D680">
        <v>192</v>
      </c>
      <c r="E680">
        <v>13.836</v>
      </c>
      <c r="F680">
        <v>1</v>
      </c>
      <c r="G680" t="s">
        <v>37</v>
      </c>
      <c r="H680" t="s">
        <v>22</v>
      </c>
      <c r="I680" t="s">
        <v>28</v>
      </c>
      <c r="J680" t="s">
        <v>23</v>
      </c>
      <c r="K680">
        <v>6</v>
      </c>
      <c r="L680">
        <v>0</v>
      </c>
      <c r="M680" s="2">
        <f t="shared" si="10"/>
        <v>2656.5120000000002</v>
      </c>
      <c r="N680" s="2" t="str">
        <f>IF(Tabla1[[#This Row],[Aprobación_Veterinaria]]=1,"APROBADO","NO APROBADO")</f>
        <v>APROBADO</v>
      </c>
      <c r="O680" t="str">
        <f>IF(Tabla1[[#This Row],[Repite compra?]]=1,"REPITE","NO REPITE")</f>
        <v>NO REPITE</v>
      </c>
      <c r="P680" t="str">
        <f>IF(Tabla1[[#This Row],[rating_segun encuesta a Consumidor]]&lt;5,"Regular",IF(Tabla1[[#This Row],[rating_segun encuesta a Consumidor]]&gt;8,"Excelente","Bueno"))</f>
        <v>Bueno</v>
      </c>
    </row>
    <row r="681" spans="1:16" x14ac:dyDescent="0.35">
      <c r="A681" s="1">
        <v>43929</v>
      </c>
      <c r="B681">
        <v>4785</v>
      </c>
      <c r="C681" t="s">
        <v>15</v>
      </c>
      <c r="D681">
        <v>142</v>
      </c>
      <c r="E681">
        <v>72.516000000000005</v>
      </c>
      <c r="F681">
        <v>1</v>
      </c>
      <c r="G681" t="s">
        <v>40</v>
      </c>
      <c r="H681" t="s">
        <v>44</v>
      </c>
      <c r="I681" t="s">
        <v>41</v>
      </c>
      <c r="J681" t="s">
        <v>23</v>
      </c>
      <c r="K681">
        <v>7</v>
      </c>
      <c r="L681">
        <v>1</v>
      </c>
      <c r="M681" s="2">
        <f t="shared" si="10"/>
        <v>10297.272000000001</v>
      </c>
      <c r="N681" s="2" t="str">
        <f>IF(Tabla1[[#This Row],[Aprobación_Veterinaria]]=1,"APROBADO","NO APROBADO")</f>
        <v>APROBADO</v>
      </c>
      <c r="O681" t="str">
        <f>IF(Tabla1[[#This Row],[Repite compra?]]=1,"REPITE","NO REPITE")</f>
        <v>REPITE</v>
      </c>
      <c r="P681" t="str">
        <f>IF(Tabla1[[#This Row],[rating_segun encuesta a Consumidor]]&lt;5,"Regular",IF(Tabla1[[#This Row],[rating_segun encuesta a Consumidor]]&gt;8,"Excelente","Bueno"))</f>
        <v>Bueno</v>
      </c>
    </row>
    <row r="682" spans="1:16" x14ac:dyDescent="0.35">
      <c r="A682" s="1">
        <v>43938</v>
      </c>
      <c r="B682">
        <v>4969</v>
      </c>
      <c r="C682" t="s">
        <v>26</v>
      </c>
      <c r="D682">
        <v>66</v>
      </c>
      <c r="E682">
        <v>136.44</v>
      </c>
      <c r="F682">
        <v>1</v>
      </c>
      <c r="G682" t="s">
        <v>16</v>
      </c>
      <c r="H682" t="s">
        <v>54</v>
      </c>
      <c r="I682" t="s">
        <v>41</v>
      </c>
      <c r="J682" t="s">
        <v>49</v>
      </c>
      <c r="K682">
        <v>6</v>
      </c>
      <c r="L682">
        <v>0</v>
      </c>
      <c r="M682" s="2">
        <f t="shared" si="10"/>
        <v>9005.0399999999991</v>
      </c>
      <c r="N682" s="2" t="str">
        <f>IF(Tabla1[[#This Row],[Aprobación_Veterinaria]]=1,"APROBADO","NO APROBADO")</f>
        <v>APROBADO</v>
      </c>
      <c r="O682" t="str">
        <f>IF(Tabla1[[#This Row],[Repite compra?]]=1,"REPITE","NO REPITE")</f>
        <v>NO REPITE</v>
      </c>
      <c r="P682" t="str">
        <f>IF(Tabla1[[#This Row],[rating_segun encuesta a Consumidor]]&lt;5,"Regular",IF(Tabla1[[#This Row],[rating_segun encuesta a Consumidor]]&gt;8,"Excelente","Bueno"))</f>
        <v>Bueno</v>
      </c>
    </row>
    <row r="683" spans="1:16" x14ac:dyDescent="0.35">
      <c r="A683" s="1">
        <v>43937</v>
      </c>
      <c r="B683">
        <v>4974</v>
      </c>
      <c r="C683" t="s">
        <v>15</v>
      </c>
      <c r="D683">
        <v>125</v>
      </c>
      <c r="E683">
        <v>4.2359999999999998</v>
      </c>
      <c r="F683">
        <v>1</v>
      </c>
      <c r="G683" t="s">
        <v>21</v>
      </c>
      <c r="H683" t="s">
        <v>54</v>
      </c>
      <c r="I683" t="s">
        <v>18</v>
      </c>
      <c r="J683" t="s">
        <v>19</v>
      </c>
      <c r="K683">
        <v>6</v>
      </c>
      <c r="L683">
        <v>0</v>
      </c>
      <c r="M683" s="2">
        <f t="shared" si="10"/>
        <v>529.5</v>
      </c>
      <c r="N683" s="2" t="str">
        <f>IF(Tabla1[[#This Row],[Aprobación_Veterinaria]]=1,"APROBADO","NO APROBADO")</f>
        <v>APROBADO</v>
      </c>
      <c r="O683" t="str">
        <f>IF(Tabla1[[#This Row],[Repite compra?]]=1,"REPITE","NO REPITE")</f>
        <v>NO REPITE</v>
      </c>
      <c r="P683" t="str">
        <f>IF(Tabla1[[#This Row],[rating_segun encuesta a Consumidor]]&lt;5,"Regular",IF(Tabla1[[#This Row],[rating_segun encuesta a Consumidor]]&gt;8,"Excelente","Bueno"))</f>
        <v>Bueno</v>
      </c>
    </row>
    <row r="684" spans="1:16" x14ac:dyDescent="0.35">
      <c r="A684" s="1">
        <v>44023</v>
      </c>
      <c r="B684">
        <v>4578</v>
      </c>
      <c r="C684" t="s">
        <v>20</v>
      </c>
      <c r="D684">
        <v>208</v>
      </c>
      <c r="E684">
        <v>152.88</v>
      </c>
      <c r="F684">
        <v>1</v>
      </c>
      <c r="G684" t="s">
        <v>24</v>
      </c>
      <c r="H684" t="s">
        <v>22</v>
      </c>
      <c r="I684" t="s">
        <v>41</v>
      </c>
      <c r="J684" t="s">
        <v>29</v>
      </c>
      <c r="K684">
        <v>10</v>
      </c>
      <c r="L684">
        <v>1</v>
      </c>
      <c r="M684" s="2">
        <f t="shared" si="10"/>
        <v>31799.040000000001</v>
      </c>
      <c r="N684" s="2" t="str">
        <f>IF(Tabla1[[#This Row],[Aprobación_Veterinaria]]=1,"APROBADO","NO APROBADO")</f>
        <v>APROBADO</v>
      </c>
      <c r="O684" t="str">
        <f>IF(Tabla1[[#This Row],[Repite compra?]]=1,"REPITE","NO REPITE")</f>
        <v>REPITE</v>
      </c>
      <c r="P684" t="str">
        <f>IF(Tabla1[[#This Row],[rating_segun encuesta a Consumidor]]&lt;5,"Regular",IF(Tabla1[[#This Row],[rating_segun encuesta a Consumidor]]&gt;8,"Excelente","Bueno"))</f>
        <v>Excelente</v>
      </c>
    </row>
    <row r="685" spans="1:16" x14ac:dyDescent="0.35">
      <c r="A685" s="1">
        <v>44184</v>
      </c>
      <c r="B685">
        <v>4703</v>
      </c>
      <c r="C685" t="s">
        <v>30</v>
      </c>
      <c r="D685">
        <v>87</v>
      </c>
      <c r="E685">
        <v>40.956000000000003</v>
      </c>
      <c r="F685">
        <v>1</v>
      </c>
      <c r="G685" t="s">
        <v>27</v>
      </c>
      <c r="H685" t="s">
        <v>50</v>
      </c>
      <c r="I685" t="s">
        <v>41</v>
      </c>
      <c r="J685" t="s">
        <v>23</v>
      </c>
      <c r="K685">
        <v>10</v>
      </c>
      <c r="L685">
        <v>1</v>
      </c>
      <c r="M685" s="2">
        <f t="shared" si="10"/>
        <v>3563.1720000000005</v>
      </c>
      <c r="N685" s="2" t="str">
        <f>IF(Tabla1[[#This Row],[Aprobación_Veterinaria]]=1,"APROBADO","NO APROBADO")</f>
        <v>APROBADO</v>
      </c>
      <c r="O685" t="str">
        <f>IF(Tabla1[[#This Row],[Repite compra?]]=1,"REPITE","NO REPITE")</f>
        <v>REPITE</v>
      </c>
      <c r="P685" t="str">
        <f>IF(Tabla1[[#This Row],[rating_segun encuesta a Consumidor]]&lt;5,"Regular",IF(Tabla1[[#This Row],[rating_segun encuesta a Consumidor]]&gt;8,"Excelente","Bueno"))</f>
        <v>Excelente</v>
      </c>
    </row>
    <row r="686" spans="1:16" x14ac:dyDescent="0.35">
      <c r="A686" s="1">
        <v>43852</v>
      </c>
      <c r="B686">
        <v>4859</v>
      </c>
      <c r="C686" t="s">
        <v>20</v>
      </c>
      <c r="D686">
        <v>220</v>
      </c>
      <c r="E686">
        <v>221.66400000000002</v>
      </c>
      <c r="F686">
        <v>0</v>
      </c>
      <c r="G686" t="s">
        <v>31</v>
      </c>
      <c r="H686" t="s">
        <v>54</v>
      </c>
      <c r="I686" t="s">
        <v>41</v>
      </c>
      <c r="J686" t="s">
        <v>23</v>
      </c>
      <c r="K686">
        <v>1</v>
      </c>
      <c r="L686">
        <v>1</v>
      </c>
      <c r="M686" s="2">
        <f t="shared" si="10"/>
        <v>48766.080000000002</v>
      </c>
      <c r="N686" s="2" t="str">
        <f>IF(Tabla1[[#This Row],[Aprobación_Veterinaria]]=1,"APROBADO","NO APROBADO")</f>
        <v>NO APROBADO</v>
      </c>
      <c r="O686" t="str">
        <f>IF(Tabla1[[#This Row],[Repite compra?]]=1,"REPITE","NO REPITE")</f>
        <v>REPITE</v>
      </c>
      <c r="P686" t="str">
        <f>IF(Tabla1[[#This Row],[rating_segun encuesta a Consumidor]]&lt;5,"Regular",IF(Tabla1[[#This Row],[rating_segun encuesta a Consumidor]]&gt;8,"Excelente","Bueno"))</f>
        <v>Regular</v>
      </c>
    </row>
    <row r="687" spans="1:16" x14ac:dyDescent="0.35">
      <c r="A687" s="1">
        <v>44088</v>
      </c>
      <c r="B687">
        <v>4903</v>
      </c>
      <c r="C687" t="s">
        <v>26</v>
      </c>
      <c r="D687">
        <v>63</v>
      </c>
      <c r="E687">
        <v>144.96</v>
      </c>
      <c r="F687">
        <v>0</v>
      </c>
      <c r="G687" t="s">
        <v>33</v>
      </c>
      <c r="H687" t="s">
        <v>50</v>
      </c>
      <c r="I687" t="s">
        <v>41</v>
      </c>
      <c r="J687" t="s">
        <v>23</v>
      </c>
      <c r="K687">
        <v>6</v>
      </c>
      <c r="L687">
        <v>0</v>
      </c>
      <c r="M687" s="2">
        <f t="shared" si="10"/>
        <v>9132.4800000000014</v>
      </c>
      <c r="N687" s="2" t="str">
        <f>IF(Tabla1[[#This Row],[Aprobación_Veterinaria]]=1,"APROBADO","NO APROBADO")</f>
        <v>NO APROBADO</v>
      </c>
      <c r="O687" t="str">
        <f>IF(Tabla1[[#This Row],[Repite compra?]]=1,"REPITE","NO REPITE")</f>
        <v>NO REPITE</v>
      </c>
      <c r="P687" t="str">
        <f>IF(Tabla1[[#This Row],[rating_segun encuesta a Consumidor]]&lt;5,"Regular",IF(Tabla1[[#This Row],[rating_segun encuesta a Consumidor]]&gt;8,"Excelente","Bueno"))</f>
        <v>Bueno</v>
      </c>
    </row>
    <row r="688" spans="1:16" x14ac:dyDescent="0.35">
      <c r="A688" s="1">
        <v>44098</v>
      </c>
      <c r="B688">
        <v>4900</v>
      </c>
      <c r="C688" t="s">
        <v>26</v>
      </c>
      <c r="D688">
        <v>168</v>
      </c>
      <c r="E688">
        <v>220.09200000000001</v>
      </c>
      <c r="F688">
        <v>0</v>
      </c>
      <c r="G688" t="s">
        <v>34</v>
      </c>
      <c r="H688" t="s">
        <v>44</v>
      </c>
      <c r="I688" t="s">
        <v>18</v>
      </c>
      <c r="J688" t="s">
        <v>29</v>
      </c>
      <c r="K688">
        <v>6</v>
      </c>
      <c r="L688">
        <v>0</v>
      </c>
      <c r="M688" s="2">
        <f t="shared" si="10"/>
        <v>36975.456000000006</v>
      </c>
      <c r="N688" s="2" t="str">
        <f>IF(Tabla1[[#This Row],[Aprobación_Veterinaria]]=1,"APROBADO","NO APROBADO")</f>
        <v>NO APROBADO</v>
      </c>
      <c r="O688" t="str">
        <f>IF(Tabla1[[#This Row],[Repite compra?]]=1,"REPITE","NO REPITE")</f>
        <v>NO REPITE</v>
      </c>
      <c r="P688" t="str">
        <f>IF(Tabla1[[#This Row],[rating_segun encuesta a Consumidor]]&lt;5,"Regular",IF(Tabla1[[#This Row],[rating_segun encuesta a Consumidor]]&gt;8,"Excelente","Bueno"))</f>
        <v>Bueno</v>
      </c>
    </row>
    <row r="689" spans="1:16" x14ac:dyDescent="0.35">
      <c r="A689" s="1">
        <v>43897</v>
      </c>
      <c r="B689">
        <v>4355</v>
      </c>
      <c r="C689" t="s">
        <v>46</v>
      </c>
      <c r="D689">
        <v>221</v>
      </c>
      <c r="E689">
        <v>142.20000000000002</v>
      </c>
      <c r="F689">
        <v>0</v>
      </c>
      <c r="G689" t="s">
        <v>36</v>
      </c>
      <c r="H689" t="s">
        <v>22</v>
      </c>
      <c r="I689" t="s">
        <v>35</v>
      </c>
      <c r="J689" t="s">
        <v>23</v>
      </c>
      <c r="K689">
        <v>10</v>
      </c>
      <c r="L689">
        <v>0</v>
      </c>
      <c r="M689" s="2">
        <f t="shared" si="10"/>
        <v>31426.200000000004</v>
      </c>
      <c r="N689" s="2" t="str">
        <f>IF(Tabla1[[#This Row],[Aprobación_Veterinaria]]=1,"APROBADO","NO APROBADO")</f>
        <v>NO APROBADO</v>
      </c>
      <c r="O689" t="str">
        <f>IF(Tabla1[[#This Row],[Repite compra?]]=1,"REPITE","NO REPITE")</f>
        <v>NO REPITE</v>
      </c>
      <c r="P689" t="str">
        <f>IF(Tabla1[[#This Row],[rating_segun encuesta a Consumidor]]&lt;5,"Regular",IF(Tabla1[[#This Row],[rating_segun encuesta a Consumidor]]&gt;8,"Excelente","Bueno"))</f>
        <v>Excelente</v>
      </c>
    </row>
    <row r="690" spans="1:16" x14ac:dyDescent="0.35">
      <c r="A690" s="1">
        <v>44160</v>
      </c>
      <c r="B690">
        <v>4633</v>
      </c>
      <c r="C690" t="s">
        <v>20</v>
      </c>
      <c r="D690">
        <v>5</v>
      </c>
      <c r="E690">
        <v>211.02</v>
      </c>
      <c r="F690">
        <v>0</v>
      </c>
      <c r="G690" t="s">
        <v>37</v>
      </c>
      <c r="H690" t="s">
        <v>22</v>
      </c>
      <c r="I690" t="s">
        <v>41</v>
      </c>
      <c r="J690" t="s">
        <v>23</v>
      </c>
      <c r="K690">
        <v>10</v>
      </c>
      <c r="L690">
        <v>1</v>
      </c>
      <c r="M690" s="2">
        <f t="shared" si="10"/>
        <v>1055.1000000000001</v>
      </c>
      <c r="N690" s="2" t="str">
        <f>IF(Tabla1[[#This Row],[Aprobación_Veterinaria]]=1,"APROBADO","NO APROBADO")</f>
        <v>NO APROBADO</v>
      </c>
      <c r="O690" t="str">
        <f>IF(Tabla1[[#This Row],[Repite compra?]]=1,"REPITE","NO REPITE")</f>
        <v>REPITE</v>
      </c>
      <c r="P690" t="str">
        <f>IF(Tabla1[[#This Row],[rating_segun encuesta a Consumidor]]&lt;5,"Regular",IF(Tabla1[[#This Row],[rating_segun encuesta a Consumidor]]&gt;8,"Excelente","Bueno"))</f>
        <v>Excelente</v>
      </c>
    </row>
    <row r="691" spans="1:16" x14ac:dyDescent="0.35">
      <c r="A691" s="1">
        <v>44000</v>
      </c>
      <c r="B691">
        <v>4589</v>
      </c>
      <c r="C691" t="s">
        <v>20</v>
      </c>
      <c r="D691">
        <v>57</v>
      </c>
      <c r="E691">
        <v>214.8</v>
      </c>
      <c r="F691">
        <v>0</v>
      </c>
      <c r="G691" t="s">
        <v>40</v>
      </c>
      <c r="H691" t="s">
        <v>22</v>
      </c>
      <c r="I691" t="s">
        <v>28</v>
      </c>
      <c r="J691" t="s">
        <v>23</v>
      </c>
      <c r="K691">
        <v>10</v>
      </c>
      <c r="L691">
        <v>1</v>
      </c>
      <c r="M691" s="2">
        <f t="shared" si="10"/>
        <v>12243.6</v>
      </c>
      <c r="N691" s="2" t="str">
        <f>IF(Tabla1[[#This Row],[Aprobación_Veterinaria]]=1,"APROBADO","NO APROBADO")</f>
        <v>NO APROBADO</v>
      </c>
      <c r="O691" t="str">
        <f>IF(Tabla1[[#This Row],[Repite compra?]]=1,"REPITE","NO REPITE")</f>
        <v>REPITE</v>
      </c>
      <c r="P691" t="str">
        <f>IF(Tabla1[[#This Row],[rating_segun encuesta a Consumidor]]&lt;5,"Regular",IF(Tabla1[[#This Row],[rating_segun encuesta a Consumidor]]&gt;8,"Excelente","Bueno"))</f>
        <v>Excelente</v>
      </c>
    </row>
    <row r="692" spans="1:16" x14ac:dyDescent="0.35">
      <c r="A692" s="1">
        <v>44129</v>
      </c>
      <c r="B692">
        <v>5038</v>
      </c>
      <c r="C692" t="s">
        <v>26</v>
      </c>
      <c r="D692">
        <v>14</v>
      </c>
      <c r="E692">
        <v>76.475999999999999</v>
      </c>
      <c r="F692">
        <v>0</v>
      </c>
      <c r="G692" t="s">
        <v>16</v>
      </c>
      <c r="H692" t="s">
        <v>17</v>
      </c>
      <c r="I692" t="s">
        <v>18</v>
      </c>
      <c r="J692" t="s">
        <v>19</v>
      </c>
      <c r="K692">
        <v>7</v>
      </c>
      <c r="L692">
        <v>1</v>
      </c>
      <c r="M692" s="2">
        <f t="shared" si="10"/>
        <v>1070.664</v>
      </c>
      <c r="N692" s="2" t="str">
        <f>IF(Tabla1[[#This Row],[Aprobación_Veterinaria]]=1,"APROBADO","NO APROBADO")</f>
        <v>NO APROBADO</v>
      </c>
      <c r="O692" t="str">
        <f>IF(Tabla1[[#This Row],[Repite compra?]]=1,"REPITE","NO REPITE")</f>
        <v>REPITE</v>
      </c>
      <c r="P692" t="str">
        <f>IF(Tabla1[[#This Row],[rating_segun encuesta a Consumidor]]&lt;5,"Regular",IF(Tabla1[[#This Row],[rating_segun encuesta a Consumidor]]&gt;8,"Excelente","Bueno"))</f>
        <v>Bueno</v>
      </c>
    </row>
    <row r="693" spans="1:16" x14ac:dyDescent="0.35">
      <c r="A693" s="1">
        <v>43948</v>
      </c>
      <c r="B693">
        <v>5050</v>
      </c>
      <c r="C693" t="s">
        <v>26</v>
      </c>
      <c r="D693">
        <v>150</v>
      </c>
      <c r="E693">
        <v>165.06</v>
      </c>
      <c r="F693">
        <v>1</v>
      </c>
      <c r="G693" t="s">
        <v>21</v>
      </c>
      <c r="H693" t="s">
        <v>17</v>
      </c>
      <c r="I693" t="s">
        <v>18</v>
      </c>
      <c r="J693" t="s">
        <v>19</v>
      </c>
      <c r="K693">
        <v>7</v>
      </c>
      <c r="L693">
        <v>1</v>
      </c>
      <c r="M693" s="2">
        <f t="shared" si="10"/>
        <v>24759</v>
      </c>
      <c r="N693" s="2" t="str">
        <f>IF(Tabla1[[#This Row],[Aprobación_Veterinaria]]=1,"APROBADO","NO APROBADO")</f>
        <v>APROBADO</v>
      </c>
      <c r="O693" t="str">
        <f>IF(Tabla1[[#This Row],[Repite compra?]]=1,"REPITE","NO REPITE")</f>
        <v>REPITE</v>
      </c>
      <c r="P693" t="str">
        <f>IF(Tabla1[[#This Row],[rating_segun encuesta a Consumidor]]&lt;5,"Regular",IF(Tabla1[[#This Row],[rating_segun encuesta a Consumidor]]&gt;8,"Excelente","Bueno"))</f>
        <v>Bueno</v>
      </c>
    </row>
    <row r="694" spans="1:16" x14ac:dyDescent="0.35">
      <c r="A694" s="1">
        <v>44184</v>
      </c>
      <c r="B694">
        <v>5010</v>
      </c>
      <c r="C694" t="s">
        <v>15</v>
      </c>
      <c r="D694">
        <v>224</v>
      </c>
      <c r="E694">
        <v>29.052</v>
      </c>
      <c r="F694">
        <v>0</v>
      </c>
      <c r="G694" t="s">
        <v>24</v>
      </c>
      <c r="H694" t="s">
        <v>44</v>
      </c>
      <c r="I694" t="s">
        <v>18</v>
      </c>
      <c r="J694" t="s">
        <v>19</v>
      </c>
      <c r="K694">
        <v>6</v>
      </c>
      <c r="L694">
        <v>0</v>
      </c>
      <c r="M694" s="2">
        <f t="shared" si="10"/>
        <v>6507.6480000000001</v>
      </c>
      <c r="N694" s="2" t="str">
        <f>IF(Tabla1[[#This Row],[Aprobación_Veterinaria]]=1,"APROBADO","NO APROBADO")</f>
        <v>NO APROBADO</v>
      </c>
      <c r="O694" t="str">
        <f>IF(Tabla1[[#This Row],[Repite compra?]]=1,"REPITE","NO REPITE")</f>
        <v>NO REPITE</v>
      </c>
      <c r="P694" t="str">
        <f>IF(Tabla1[[#This Row],[rating_segun encuesta a Consumidor]]&lt;5,"Regular",IF(Tabla1[[#This Row],[rating_segun encuesta a Consumidor]]&gt;8,"Excelente","Bueno"))</f>
        <v>Bueno</v>
      </c>
    </row>
    <row r="695" spans="1:16" x14ac:dyDescent="0.35">
      <c r="A695" s="1">
        <v>44168</v>
      </c>
      <c r="B695">
        <v>4390</v>
      </c>
      <c r="C695" t="s">
        <v>42</v>
      </c>
      <c r="D695">
        <v>120</v>
      </c>
      <c r="E695">
        <v>4.0680000000000005</v>
      </c>
      <c r="F695">
        <v>0</v>
      </c>
      <c r="G695" t="s">
        <v>27</v>
      </c>
      <c r="H695" t="s">
        <v>22</v>
      </c>
      <c r="I695" t="s">
        <v>35</v>
      </c>
      <c r="J695" t="s">
        <v>29</v>
      </c>
      <c r="K695">
        <v>5</v>
      </c>
      <c r="L695">
        <v>1</v>
      </c>
      <c r="M695" s="2">
        <f t="shared" si="10"/>
        <v>488.16000000000008</v>
      </c>
      <c r="N695" s="2" t="str">
        <f>IF(Tabla1[[#This Row],[Aprobación_Veterinaria]]=1,"APROBADO","NO APROBADO")</f>
        <v>NO APROBADO</v>
      </c>
      <c r="O695" t="str">
        <f>IF(Tabla1[[#This Row],[Repite compra?]]=1,"REPITE","NO REPITE")</f>
        <v>REPITE</v>
      </c>
      <c r="P695" t="str">
        <f>IF(Tabla1[[#This Row],[rating_segun encuesta a Consumidor]]&lt;5,"Regular",IF(Tabla1[[#This Row],[rating_segun encuesta a Consumidor]]&gt;8,"Excelente","Bueno"))</f>
        <v>Bueno</v>
      </c>
    </row>
    <row r="696" spans="1:16" x14ac:dyDescent="0.35">
      <c r="A696" s="1">
        <v>44140</v>
      </c>
      <c r="B696">
        <v>4247</v>
      </c>
      <c r="C696" t="s">
        <v>42</v>
      </c>
      <c r="D696">
        <v>160</v>
      </c>
      <c r="E696">
        <v>107.628</v>
      </c>
      <c r="F696">
        <v>1</v>
      </c>
      <c r="G696" t="s">
        <v>31</v>
      </c>
      <c r="H696" t="s">
        <v>22</v>
      </c>
      <c r="I696" t="s">
        <v>18</v>
      </c>
      <c r="J696" t="s">
        <v>19</v>
      </c>
      <c r="K696">
        <v>6</v>
      </c>
      <c r="L696">
        <v>1</v>
      </c>
      <c r="M696" s="2">
        <f t="shared" si="10"/>
        <v>17220.48</v>
      </c>
      <c r="N696" s="2" t="str">
        <f>IF(Tabla1[[#This Row],[Aprobación_Veterinaria]]=1,"APROBADO","NO APROBADO")</f>
        <v>APROBADO</v>
      </c>
      <c r="O696" t="str">
        <f>IF(Tabla1[[#This Row],[Repite compra?]]=1,"REPITE","NO REPITE")</f>
        <v>REPITE</v>
      </c>
      <c r="P696" t="str">
        <f>IF(Tabla1[[#This Row],[rating_segun encuesta a Consumidor]]&lt;5,"Regular",IF(Tabla1[[#This Row],[rating_segun encuesta a Consumidor]]&gt;8,"Excelente","Bueno"))</f>
        <v>Bueno</v>
      </c>
    </row>
    <row r="697" spans="1:16" x14ac:dyDescent="0.35">
      <c r="A697" s="1">
        <v>43869</v>
      </c>
      <c r="B697">
        <v>4834</v>
      </c>
      <c r="C697" t="s">
        <v>26</v>
      </c>
      <c r="D697">
        <v>38</v>
      </c>
      <c r="E697">
        <v>200.892</v>
      </c>
      <c r="F697">
        <v>1</v>
      </c>
      <c r="G697" t="s">
        <v>33</v>
      </c>
      <c r="H697" t="s">
        <v>54</v>
      </c>
      <c r="I697" t="s">
        <v>18</v>
      </c>
      <c r="J697" t="s">
        <v>29</v>
      </c>
      <c r="K697">
        <v>2</v>
      </c>
      <c r="L697">
        <v>1</v>
      </c>
      <c r="M697" s="2">
        <f t="shared" si="10"/>
        <v>7633.8959999999997</v>
      </c>
      <c r="N697" s="2" t="str">
        <f>IF(Tabla1[[#This Row],[Aprobación_Veterinaria]]=1,"APROBADO","NO APROBADO")</f>
        <v>APROBADO</v>
      </c>
      <c r="O697" t="str">
        <f>IF(Tabla1[[#This Row],[Repite compra?]]=1,"REPITE","NO REPITE")</f>
        <v>REPITE</v>
      </c>
      <c r="P697" t="str">
        <f>IF(Tabla1[[#This Row],[rating_segun encuesta a Consumidor]]&lt;5,"Regular",IF(Tabla1[[#This Row],[rating_segun encuesta a Consumidor]]&gt;8,"Excelente","Bueno"))</f>
        <v>Regular</v>
      </c>
    </row>
    <row r="698" spans="1:16" x14ac:dyDescent="0.35">
      <c r="A698" s="1">
        <v>44068</v>
      </c>
      <c r="B698">
        <v>4908</v>
      </c>
      <c r="C698" t="s">
        <v>15</v>
      </c>
      <c r="D698">
        <v>46</v>
      </c>
      <c r="E698">
        <v>224.892</v>
      </c>
      <c r="F698">
        <v>0</v>
      </c>
      <c r="G698" t="s">
        <v>34</v>
      </c>
      <c r="H698" t="s">
        <v>50</v>
      </c>
      <c r="I698" t="s">
        <v>18</v>
      </c>
      <c r="J698" t="s">
        <v>29</v>
      </c>
      <c r="K698">
        <v>6</v>
      </c>
      <c r="L698">
        <v>0</v>
      </c>
      <c r="M698" s="2">
        <f t="shared" si="10"/>
        <v>10345.031999999999</v>
      </c>
      <c r="N698" s="2" t="str">
        <f>IF(Tabla1[[#This Row],[Aprobación_Veterinaria]]=1,"APROBADO","NO APROBADO")</f>
        <v>NO APROBADO</v>
      </c>
      <c r="O698" t="str">
        <f>IF(Tabla1[[#This Row],[Repite compra?]]=1,"REPITE","NO REPITE")</f>
        <v>NO REPITE</v>
      </c>
      <c r="P698" t="str">
        <f>IF(Tabla1[[#This Row],[rating_segun encuesta a Consumidor]]&lt;5,"Regular",IF(Tabla1[[#This Row],[rating_segun encuesta a Consumidor]]&gt;8,"Excelente","Bueno"))</f>
        <v>Bueno</v>
      </c>
    </row>
    <row r="699" spans="1:16" x14ac:dyDescent="0.35">
      <c r="A699" s="1">
        <v>44117</v>
      </c>
      <c r="B699">
        <v>4417</v>
      </c>
      <c r="C699" t="s">
        <v>47</v>
      </c>
      <c r="D699">
        <v>68</v>
      </c>
      <c r="E699">
        <v>154.05600000000001</v>
      </c>
      <c r="F699">
        <v>0</v>
      </c>
      <c r="G699" t="s">
        <v>36</v>
      </c>
      <c r="H699" t="s">
        <v>22</v>
      </c>
      <c r="I699" t="s">
        <v>18</v>
      </c>
      <c r="J699" t="s">
        <v>23</v>
      </c>
      <c r="K699">
        <v>4</v>
      </c>
      <c r="L699">
        <v>0</v>
      </c>
      <c r="M699" s="2">
        <f t="shared" si="10"/>
        <v>10475.808000000001</v>
      </c>
      <c r="N699" s="2" t="str">
        <f>IF(Tabla1[[#This Row],[Aprobación_Veterinaria]]=1,"APROBADO","NO APROBADO")</f>
        <v>NO APROBADO</v>
      </c>
      <c r="O699" t="str">
        <f>IF(Tabla1[[#This Row],[Repite compra?]]=1,"REPITE","NO REPITE")</f>
        <v>NO REPITE</v>
      </c>
      <c r="P699" t="str">
        <f>IF(Tabla1[[#This Row],[rating_segun encuesta a Consumidor]]&lt;5,"Regular",IF(Tabla1[[#This Row],[rating_segun encuesta a Consumidor]]&gt;8,"Excelente","Bueno"))</f>
        <v>Regular</v>
      </c>
    </row>
    <row r="700" spans="1:16" x14ac:dyDescent="0.35">
      <c r="A700" s="1">
        <v>43902</v>
      </c>
      <c r="B700">
        <v>4252</v>
      </c>
      <c r="C700" t="s">
        <v>47</v>
      </c>
      <c r="D700">
        <v>177</v>
      </c>
      <c r="E700">
        <v>193.21200000000002</v>
      </c>
      <c r="F700">
        <v>0</v>
      </c>
      <c r="G700" t="s">
        <v>37</v>
      </c>
      <c r="H700" t="s">
        <v>22</v>
      </c>
      <c r="I700" t="s">
        <v>18</v>
      </c>
      <c r="J700" t="s">
        <v>53</v>
      </c>
      <c r="K700">
        <v>8</v>
      </c>
      <c r="L700">
        <v>1</v>
      </c>
      <c r="M700" s="2">
        <f t="shared" si="10"/>
        <v>34198.524000000005</v>
      </c>
      <c r="N700" s="2" t="str">
        <f>IF(Tabla1[[#This Row],[Aprobación_Veterinaria]]=1,"APROBADO","NO APROBADO")</f>
        <v>NO APROBADO</v>
      </c>
      <c r="O700" t="str">
        <f>IF(Tabla1[[#This Row],[Repite compra?]]=1,"REPITE","NO REPITE")</f>
        <v>REPITE</v>
      </c>
      <c r="P700" t="str">
        <f>IF(Tabla1[[#This Row],[rating_segun encuesta a Consumidor]]&lt;5,"Regular",IF(Tabla1[[#This Row],[rating_segun encuesta a Consumidor]]&gt;8,"Excelente","Bueno"))</f>
        <v>Bueno</v>
      </c>
    </row>
    <row r="701" spans="1:16" x14ac:dyDescent="0.35">
      <c r="A701" s="1">
        <v>44041</v>
      </c>
      <c r="B701">
        <v>4608</v>
      </c>
      <c r="C701" t="s">
        <v>46</v>
      </c>
      <c r="D701">
        <v>56</v>
      </c>
      <c r="E701">
        <v>5.9880000000000004</v>
      </c>
      <c r="F701">
        <v>1</v>
      </c>
      <c r="G701" t="s">
        <v>40</v>
      </c>
      <c r="H701" t="s">
        <v>22</v>
      </c>
      <c r="I701" t="s">
        <v>41</v>
      </c>
      <c r="J701" t="s">
        <v>29</v>
      </c>
      <c r="K701">
        <v>10</v>
      </c>
      <c r="L701">
        <v>1</v>
      </c>
      <c r="M701" s="2">
        <f t="shared" si="10"/>
        <v>335.32800000000003</v>
      </c>
      <c r="N701" s="2" t="str">
        <f>IF(Tabla1[[#This Row],[Aprobación_Veterinaria]]=1,"APROBADO","NO APROBADO")</f>
        <v>APROBADO</v>
      </c>
      <c r="O701" t="str">
        <f>IF(Tabla1[[#This Row],[Repite compra?]]=1,"REPITE","NO REPITE")</f>
        <v>REPITE</v>
      </c>
      <c r="P701" t="str">
        <f>IF(Tabla1[[#This Row],[rating_segun encuesta a Consumidor]]&lt;5,"Regular",IF(Tabla1[[#This Row],[rating_segun encuesta a Consumidor]]&gt;8,"Excelente","Bueno"))</f>
        <v>Excelente</v>
      </c>
    </row>
    <row r="702" spans="1:16" x14ac:dyDescent="0.35">
      <c r="A702" s="1">
        <v>43845</v>
      </c>
      <c r="B702">
        <v>4488</v>
      </c>
      <c r="C702" t="s">
        <v>32</v>
      </c>
      <c r="D702">
        <v>201</v>
      </c>
      <c r="E702">
        <v>187.82400000000001</v>
      </c>
      <c r="F702">
        <v>1</v>
      </c>
      <c r="G702" t="s">
        <v>16</v>
      </c>
      <c r="H702" t="s">
        <v>22</v>
      </c>
      <c r="I702" t="s">
        <v>41</v>
      </c>
      <c r="J702" t="s">
        <v>29</v>
      </c>
      <c r="K702">
        <v>8</v>
      </c>
      <c r="L702">
        <v>0</v>
      </c>
      <c r="M702" s="2">
        <f t="shared" si="10"/>
        <v>37752.624000000003</v>
      </c>
      <c r="N702" s="2" t="str">
        <f>IF(Tabla1[[#This Row],[Aprobación_Veterinaria]]=1,"APROBADO","NO APROBADO")</f>
        <v>APROBADO</v>
      </c>
      <c r="O702" t="str">
        <f>IF(Tabla1[[#This Row],[Repite compra?]]=1,"REPITE","NO REPITE")</f>
        <v>NO REPITE</v>
      </c>
      <c r="P702" t="str">
        <f>IF(Tabla1[[#This Row],[rating_segun encuesta a Consumidor]]&lt;5,"Regular",IF(Tabla1[[#This Row],[rating_segun encuesta a Consumidor]]&gt;8,"Excelente","Bueno"))</f>
        <v>Bueno</v>
      </c>
    </row>
    <row r="703" spans="1:16" x14ac:dyDescent="0.35">
      <c r="A703" s="1">
        <v>43956</v>
      </c>
      <c r="B703">
        <v>5009</v>
      </c>
      <c r="C703" t="s">
        <v>20</v>
      </c>
      <c r="D703">
        <v>174</v>
      </c>
      <c r="E703">
        <v>11.124000000000001</v>
      </c>
      <c r="F703">
        <v>0</v>
      </c>
      <c r="G703" t="s">
        <v>21</v>
      </c>
      <c r="H703" t="s">
        <v>54</v>
      </c>
      <c r="I703" t="s">
        <v>41</v>
      </c>
      <c r="J703" t="s">
        <v>49</v>
      </c>
      <c r="K703">
        <v>6</v>
      </c>
      <c r="L703">
        <v>0</v>
      </c>
      <c r="M703" s="2">
        <f t="shared" si="10"/>
        <v>1935.576</v>
      </c>
      <c r="N703" s="2" t="str">
        <f>IF(Tabla1[[#This Row],[Aprobación_Veterinaria]]=1,"APROBADO","NO APROBADO")</f>
        <v>NO APROBADO</v>
      </c>
      <c r="O703" t="str">
        <f>IF(Tabla1[[#This Row],[Repite compra?]]=1,"REPITE","NO REPITE")</f>
        <v>NO REPITE</v>
      </c>
      <c r="P703" t="str">
        <f>IF(Tabla1[[#This Row],[rating_segun encuesta a Consumidor]]&lt;5,"Regular",IF(Tabla1[[#This Row],[rating_segun encuesta a Consumidor]]&gt;8,"Excelente","Bueno"))</f>
        <v>Bueno</v>
      </c>
    </row>
    <row r="704" spans="1:16" x14ac:dyDescent="0.35">
      <c r="A704" s="1">
        <v>44118</v>
      </c>
      <c r="B704">
        <v>4586</v>
      </c>
      <c r="C704" t="s">
        <v>46</v>
      </c>
      <c r="D704">
        <v>208</v>
      </c>
      <c r="E704">
        <v>145.84800000000001</v>
      </c>
      <c r="F704">
        <v>0</v>
      </c>
      <c r="G704" t="s">
        <v>24</v>
      </c>
      <c r="H704" t="s">
        <v>22</v>
      </c>
      <c r="I704" t="s">
        <v>45</v>
      </c>
      <c r="J704" t="s">
        <v>29</v>
      </c>
      <c r="K704">
        <v>10</v>
      </c>
      <c r="L704">
        <v>0</v>
      </c>
      <c r="M704" s="2">
        <f t="shared" si="10"/>
        <v>30336.384000000002</v>
      </c>
      <c r="N704" s="2" t="str">
        <f>IF(Tabla1[[#This Row],[Aprobación_Veterinaria]]=1,"APROBADO","NO APROBADO")</f>
        <v>NO APROBADO</v>
      </c>
      <c r="O704" t="str">
        <f>IF(Tabla1[[#This Row],[Repite compra?]]=1,"REPITE","NO REPITE")</f>
        <v>NO REPITE</v>
      </c>
      <c r="P704" t="str">
        <f>IF(Tabla1[[#This Row],[rating_segun encuesta a Consumidor]]&lt;5,"Regular",IF(Tabla1[[#This Row],[rating_segun encuesta a Consumidor]]&gt;8,"Excelente","Bueno"))</f>
        <v>Excelente</v>
      </c>
    </row>
    <row r="705" spans="1:16" x14ac:dyDescent="0.35">
      <c r="A705" s="1">
        <v>43961</v>
      </c>
      <c r="B705">
        <v>5027</v>
      </c>
      <c r="C705" t="s">
        <v>20</v>
      </c>
      <c r="D705">
        <v>41</v>
      </c>
      <c r="E705">
        <v>27.744</v>
      </c>
      <c r="F705">
        <v>0</v>
      </c>
      <c r="G705" t="s">
        <v>27</v>
      </c>
      <c r="H705" t="s">
        <v>38</v>
      </c>
      <c r="I705" t="s">
        <v>41</v>
      </c>
      <c r="J705" t="s">
        <v>49</v>
      </c>
      <c r="K705">
        <v>6</v>
      </c>
      <c r="L705">
        <v>1</v>
      </c>
      <c r="M705" s="2">
        <f t="shared" si="10"/>
        <v>1137.5039999999999</v>
      </c>
      <c r="N705" s="2" t="str">
        <f>IF(Tabla1[[#This Row],[Aprobación_Veterinaria]]=1,"APROBADO","NO APROBADO")</f>
        <v>NO APROBADO</v>
      </c>
      <c r="O705" t="str">
        <f>IF(Tabla1[[#This Row],[Repite compra?]]=1,"REPITE","NO REPITE")</f>
        <v>REPITE</v>
      </c>
      <c r="P705" t="str">
        <f>IF(Tabla1[[#This Row],[rating_segun encuesta a Consumidor]]&lt;5,"Regular",IF(Tabla1[[#This Row],[rating_segun encuesta a Consumidor]]&gt;8,"Excelente","Bueno"))</f>
        <v>Bueno</v>
      </c>
    </row>
    <row r="706" spans="1:16" x14ac:dyDescent="0.35">
      <c r="A706" s="1">
        <v>43840</v>
      </c>
      <c r="B706">
        <v>4833</v>
      </c>
      <c r="C706" t="s">
        <v>15</v>
      </c>
      <c r="D706">
        <v>68</v>
      </c>
      <c r="E706">
        <v>128.66400000000002</v>
      </c>
      <c r="F706">
        <v>0</v>
      </c>
      <c r="G706" t="s">
        <v>31</v>
      </c>
      <c r="H706" t="s">
        <v>50</v>
      </c>
      <c r="I706" t="s">
        <v>41</v>
      </c>
      <c r="J706" t="s">
        <v>23</v>
      </c>
      <c r="K706">
        <v>2</v>
      </c>
      <c r="L706">
        <v>1</v>
      </c>
      <c r="M706" s="2">
        <f t="shared" ref="M706:M769" si="11">D706*E706</f>
        <v>8749.1520000000019</v>
      </c>
      <c r="N706" s="2" t="str">
        <f>IF(Tabla1[[#This Row],[Aprobación_Veterinaria]]=1,"APROBADO","NO APROBADO")</f>
        <v>NO APROBADO</v>
      </c>
      <c r="O706" t="str">
        <f>IF(Tabla1[[#This Row],[Repite compra?]]=1,"REPITE","NO REPITE")</f>
        <v>REPITE</v>
      </c>
      <c r="P706" t="str">
        <f>IF(Tabla1[[#This Row],[rating_segun encuesta a Consumidor]]&lt;5,"Regular",IF(Tabla1[[#This Row],[rating_segun encuesta a Consumidor]]&gt;8,"Excelente","Bueno"))</f>
        <v>Regular</v>
      </c>
    </row>
    <row r="707" spans="1:16" x14ac:dyDescent="0.35">
      <c r="A707" s="1">
        <v>43902</v>
      </c>
      <c r="B707">
        <v>4277</v>
      </c>
      <c r="C707" t="s">
        <v>15</v>
      </c>
      <c r="D707">
        <v>8</v>
      </c>
      <c r="E707">
        <v>96.468000000000004</v>
      </c>
      <c r="F707">
        <v>0</v>
      </c>
      <c r="G707" t="s">
        <v>33</v>
      </c>
      <c r="H707" t="s">
        <v>22</v>
      </c>
      <c r="I707" t="s">
        <v>18</v>
      </c>
      <c r="J707" t="s">
        <v>19</v>
      </c>
      <c r="K707">
        <v>8</v>
      </c>
      <c r="L707">
        <v>0</v>
      </c>
      <c r="M707" s="2">
        <f t="shared" si="11"/>
        <v>771.74400000000003</v>
      </c>
      <c r="N707" s="2" t="str">
        <f>IF(Tabla1[[#This Row],[Aprobación_Veterinaria]]=1,"APROBADO","NO APROBADO")</f>
        <v>NO APROBADO</v>
      </c>
      <c r="O707" t="str">
        <f>IF(Tabla1[[#This Row],[Repite compra?]]=1,"REPITE","NO REPITE")</f>
        <v>NO REPITE</v>
      </c>
      <c r="P707" t="str">
        <f>IF(Tabla1[[#This Row],[rating_segun encuesta a Consumidor]]&lt;5,"Regular",IF(Tabla1[[#This Row],[rating_segun encuesta a Consumidor]]&gt;8,"Excelente","Bueno"))</f>
        <v>Bueno</v>
      </c>
    </row>
    <row r="708" spans="1:16" x14ac:dyDescent="0.35">
      <c r="A708" s="1">
        <v>43831</v>
      </c>
      <c r="B708">
        <v>5026</v>
      </c>
      <c r="C708" t="s">
        <v>26</v>
      </c>
      <c r="D708">
        <v>77</v>
      </c>
      <c r="E708">
        <v>42.756</v>
      </c>
      <c r="F708">
        <v>1</v>
      </c>
      <c r="G708" t="s">
        <v>34</v>
      </c>
      <c r="H708" t="s">
        <v>48</v>
      </c>
      <c r="I708" t="s">
        <v>18</v>
      </c>
      <c r="J708" t="s">
        <v>19</v>
      </c>
      <c r="K708">
        <v>6</v>
      </c>
      <c r="L708">
        <v>1</v>
      </c>
      <c r="M708" s="2">
        <f t="shared" si="11"/>
        <v>3292.212</v>
      </c>
      <c r="N708" s="2" t="str">
        <f>IF(Tabla1[[#This Row],[Aprobación_Veterinaria]]=1,"APROBADO","NO APROBADO")</f>
        <v>APROBADO</v>
      </c>
      <c r="O708" t="str">
        <f>IF(Tabla1[[#This Row],[Repite compra?]]=1,"REPITE","NO REPITE")</f>
        <v>REPITE</v>
      </c>
      <c r="P708" t="str">
        <f>IF(Tabla1[[#This Row],[rating_segun encuesta a Consumidor]]&lt;5,"Regular",IF(Tabla1[[#This Row],[rating_segun encuesta a Consumidor]]&gt;8,"Excelente","Bueno"))</f>
        <v>Bueno</v>
      </c>
    </row>
    <row r="709" spans="1:16" x14ac:dyDescent="0.35">
      <c r="A709" s="1">
        <v>44147</v>
      </c>
      <c r="B709">
        <v>4675</v>
      </c>
      <c r="C709" t="s">
        <v>32</v>
      </c>
      <c r="D709">
        <v>159</v>
      </c>
      <c r="E709">
        <v>130.536</v>
      </c>
      <c r="F709">
        <v>1</v>
      </c>
      <c r="G709" t="s">
        <v>36</v>
      </c>
      <c r="H709" t="s">
        <v>22</v>
      </c>
      <c r="I709" t="s">
        <v>35</v>
      </c>
      <c r="J709" t="s">
        <v>23</v>
      </c>
      <c r="K709">
        <v>10</v>
      </c>
      <c r="L709">
        <v>0</v>
      </c>
      <c r="M709" s="2">
        <f t="shared" si="11"/>
        <v>20755.224000000002</v>
      </c>
      <c r="N709" s="2" t="str">
        <f>IF(Tabla1[[#This Row],[Aprobación_Veterinaria]]=1,"APROBADO","NO APROBADO")</f>
        <v>APROBADO</v>
      </c>
      <c r="O709" t="str">
        <f>IF(Tabla1[[#This Row],[Repite compra?]]=1,"REPITE","NO REPITE")</f>
        <v>NO REPITE</v>
      </c>
      <c r="P709" t="str">
        <f>IF(Tabla1[[#This Row],[rating_segun encuesta a Consumidor]]&lt;5,"Regular",IF(Tabla1[[#This Row],[rating_segun encuesta a Consumidor]]&gt;8,"Excelente","Bueno"))</f>
        <v>Excelente</v>
      </c>
    </row>
    <row r="710" spans="1:16" x14ac:dyDescent="0.35">
      <c r="A710" s="1">
        <v>43885</v>
      </c>
      <c r="B710">
        <v>4347</v>
      </c>
      <c r="C710" t="s">
        <v>20</v>
      </c>
      <c r="D710">
        <v>13</v>
      </c>
      <c r="E710">
        <v>216.92400000000001</v>
      </c>
      <c r="F710">
        <v>0</v>
      </c>
      <c r="G710" t="s">
        <v>37</v>
      </c>
      <c r="H710" t="s">
        <v>22</v>
      </c>
      <c r="I710" t="s">
        <v>18</v>
      </c>
      <c r="J710" t="s">
        <v>23</v>
      </c>
      <c r="K710">
        <v>10</v>
      </c>
      <c r="L710">
        <v>1</v>
      </c>
      <c r="M710" s="2">
        <f t="shared" si="11"/>
        <v>2820.0120000000002</v>
      </c>
      <c r="N710" s="2" t="str">
        <f>IF(Tabla1[[#This Row],[Aprobación_Veterinaria]]=1,"APROBADO","NO APROBADO")</f>
        <v>NO APROBADO</v>
      </c>
      <c r="O710" t="str">
        <f>IF(Tabla1[[#This Row],[Repite compra?]]=1,"REPITE","NO REPITE")</f>
        <v>REPITE</v>
      </c>
      <c r="P710" t="str">
        <f>IF(Tabla1[[#This Row],[rating_segun encuesta a Consumidor]]&lt;5,"Regular",IF(Tabla1[[#This Row],[rating_segun encuesta a Consumidor]]&gt;8,"Excelente","Bueno"))</f>
        <v>Excelente</v>
      </c>
    </row>
    <row r="711" spans="1:16" x14ac:dyDescent="0.35">
      <c r="A711" s="1">
        <v>44044</v>
      </c>
      <c r="B711">
        <v>4346</v>
      </c>
      <c r="C711" t="s">
        <v>42</v>
      </c>
      <c r="D711">
        <v>22</v>
      </c>
      <c r="E711">
        <v>63.384</v>
      </c>
      <c r="F711">
        <v>1</v>
      </c>
      <c r="G711" t="s">
        <v>40</v>
      </c>
      <c r="H711" t="s">
        <v>22</v>
      </c>
      <c r="I711" t="s">
        <v>45</v>
      </c>
      <c r="J711" t="s">
        <v>29</v>
      </c>
      <c r="K711">
        <v>8</v>
      </c>
      <c r="L711">
        <v>0</v>
      </c>
      <c r="M711" s="2">
        <f t="shared" si="11"/>
        <v>1394.4480000000001</v>
      </c>
      <c r="N711" s="2" t="str">
        <f>IF(Tabla1[[#This Row],[Aprobación_Veterinaria]]=1,"APROBADO","NO APROBADO")</f>
        <v>APROBADO</v>
      </c>
      <c r="O711" t="str">
        <f>IF(Tabla1[[#This Row],[Repite compra?]]=1,"REPITE","NO REPITE")</f>
        <v>NO REPITE</v>
      </c>
      <c r="P711" t="str">
        <f>IF(Tabla1[[#This Row],[rating_segun encuesta a Consumidor]]&lt;5,"Regular",IF(Tabla1[[#This Row],[rating_segun encuesta a Consumidor]]&gt;8,"Excelente","Bueno"))</f>
        <v>Bueno</v>
      </c>
    </row>
    <row r="712" spans="1:16" x14ac:dyDescent="0.35">
      <c r="A712" s="1">
        <v>43867</v>
      </c>
      <c r="B712">
        <v>4313</v>
      </c>
      <c r="C712" t="s">
        <v>42</v>
      </c>
      <c r="D712">
        <v>45</v>
      </c>
      <c r="E712">
        <v>132.49199999999999</v>
      </c>
      <c r="F712">
        <v>1</v>
      </c>
      <c r="G712" t="s">
        <v>16</v>
      </c>
      <c r="H712" t="s">
        <v>22</v>
      </c>
      <c r="I712" t="s">
        <v>41</v>
      </c>
      <c r="J712" t="s">
        <v>23</v>
      </c>
      <c r="K712">
        <v>8</v>
      </c>
      <c r="L712">
        <v>0</v>
      </c>
      <c r="M712" s="2">
        <f t="shared" si="11"/>
        <v>5962.1399999999994</v>
      </c>
      <c r="N712" s="2" t="str">
        <f>IF(Tabla1[[#This Row],[Aprobación_Veterinaria]]=1,"APROBADO","NO APROBADO")</f>
        <v>APROBADO</v>
      </c>
      <c r="O712" t="str">
        <f>IF(Tabla1[[#This Row],[Repite compra?]]=1,"REPITE","NO REPITE")</f>
        <v>NO REPITE</v>
      </c>
      <c r="P712" t="str">
        <f>IF(Tabla1[[#This Row],[rating_segun encuesta a Consumidor]]&lt;5,"Regular",IF(Tabla1[[#This Row],[rating_segun encuesta a Consumidor]]&gt;8,"Excelente","Bueno"))</f>
        <v>Bueno</v>
      </c>
    </row>
    <row r="713" spans="1:16" x14ac:dyDescent="0.35">
      <c r="A713" s="1">
        <v>43898</v>
      </c>
      <c r="B713">
        <v>4918</v>
      </c>
      <c r="C713" t="s">
        <v>26</v>
      </c>
      <c r="D713">
        <v>81</v>
      </c>
      <c r="E713">
        <v>229.78800000000001</v>
      </c>
      <c r="F713">
        <v>0</v>
      </c>
      <c r="G713" t="s">
        <v>21</v>
      </c>
      <c r="H713" t="s">
        <v>50</v>
      </c>
      <c r="I713" t="s">
        <v>18</v>
      </c>
      <c r="J713" t="s">
        <v>29</v>
      </c>
      <c r="K713">
        <v>6</v>
      </c>
      <c r="L713">
        <v>0</v>
      </c>
      <c r="M713" s="2">
        <f t="shared" si="11"/>
        <v>18612.828000000001</v>
      </c>
      <c r="N713" s="2" t="str">
        <f>IF(Tabla1[[#This Row],[Aprobación_Veterinaria]]=1,"APROBADO","NO APROBADO")</f>
        <v>NO APROBADO</v>
      </c>
      <c r="O713" t="str">
        <f>IF(Tabla1[[#This Row],[Repite compra?]]=1,"REPITE","NO REPITE")</f>
        <v>NO REPITE</v>
      </c>
      <c r="P713" t="str">
        <f>IF(Tabla1[[#This Row],[rating_segun encuesta a Consumidor]]&lt;5,"Regular",IF(Tabla1[[#This Row],[rating_segun encuesta a Consumidor]]&gt;8,"Excelente","Bueno"))</f>
        <v>Bueno</v>
      </c>
    </row>
    <row r="714" spans="1:16" x14ac:dyDescent="0.35">
      <c r="A714" s="1">
        <v>44065</v>
      </c>
      <c r="B714">
        <v>4241</v>
      </c>
      <c r="C714" t="s">
        <v>47</v>
      </c>
      <c r="D714">
        <v>81</v>
      </c>
      <c r="E714">
        <v>182.52</v>
      </c>
      <c r="F714">
        <v>1</v>
      </c>
      <c r="G714" t="s">
        <v>24</v>
      </c>
      <c r="H714" t="s">
        <v>22</v>
      </c>
      <c r="I714" t="s">
        <v>45</v>
      </c>
      <c r="J714" t="s">
        <v>19</v>
      </c>
      <c r="K714">
        <v>4</v>
      </c>
      <c r="L714">
        <v>0</v>
      </c>
      <c r="M714" s="2">
        <f t="shared" si="11"/>
        <v>14784.12</v>
      </c>
      <c r="N714" s="2" t="str">
        <f>IF(Tabla1[[#This Row],[Aprobación_Veterinaria]]=1,"APROBADO","NO APROBADO")</f>
        <v>APROBADO</v>
      </c>
      <c r="O714" t="str">
        <f>IF(Tabla1[[#This Row],[Repite compra?]]=1,"REPITE","NO REPITE")</f>
        <v>NO REPITE</v>
      </c>
      <c r="P714" t="str">
        <f>IF(Tabla1[[#This Row],[rating_segun encuesta a Consumidor]]&lt;5,"Regular",IF(Tabla1[[#This Row],[rating_segun encuesta a Consumidor]]&gt;8,"Excelente","Bueno"))</f>
        <v>Regular</v>
      </c>
    </row>
    <row r="715" spans="1:16" x14ac:dyDescent="0.35">
      <c r="A715" s="1">
        <v>43833</v>
      </c>
      <c r="B715">
        <v>4529</v>
      </c>
      <c r="C715" t="s">
        <v>26</v>
      </c>
      <c r="D715">
        <v>58</v>
      </c>
      <c r="E715">
        <v>27.852</v>
      </c>
      <c r="F715">
        <v>0</v>
      </c>
      <c r="G715" t="s">
        <v>27</v>
      </c>
      <c r="H715" t="s">
        <v>22</v>
      </c>
      <c r="I715" t="s">
        <v>28</v>
      </c>
      <c r="J715" t="s">
        <v>23</v>
      </c>
      <c r="K715">
        <v>8</v>
      </c>
      <c r="L715">
        <v>0</v>
      </c>
      <c r="M715" s="2">
        <f t="shared" si="11"/>
        <v>1615.4159999999999</v>
      </c>
      <c r="N715" s="2" t="str">
        <f>IF(Tabla1[[#This Row],[Aprobación_Veterinaria]]=1,"APROBADO","NO APROBADO")</f>
        <v>NO APROBADO</v>
      </c>
      <c r="O715" t="str">
        <f>IF(Tabla1[[#This Row],[Repite compra?]]=1,"REPITE","NO REPITE")</f>
        <v>NO REPITE</v>
      </c>
      <c r="P715" t="str">
        <f>IF(Tabla1[[#This Row],[rating_segun encuesta a Consumidor]]&lt;5,"Regular",IF(Tabla1[[#This Row],[rating_segun encuesta a Consumidor]]&gt;8,"Excelente","Bueno"))</f>
        <v>Bueno</v>
      </c>
    </row>
    <row r="716" spans="1:16" x14ac:dyDescent="0.35">
      <c r="A716" s="1">
        <v>44008</v>
      </c>
      <c r="B716">
        <v>4928</v>
      </c>
      <c r="C716" t="s">
        <v>20</v>
      </c>
      <c r="D716">
        <v>200</v>
      </c>
      <c r="E716">
        <v>203.47200000000001</v>
      </c>
      <c r="F716">
        <v>0</v>
      </c>
      <c r="G716" t="s">
        <v>31</v>
      </c>
      <c r="H716" t="s">
        <v>50</v>
      </c>
      <c r="I716" t="s">
        <v>18</v>
      </c>
      <c r="J716" t="s">
        <v>29</v>
      </c>
      <c r="K716">
        <v>6</v>
      </c>
      <c r="L716">
        <v>0</v>
      </c>
      <c r="M716" s="2">
        <f t="shared" si="11"/>
        <v>40694.400000000001</v>
      </c>
      <c r="N716" s="2" t="str">
        <f>IF(Tabla1[[#This Row],[Aprobación_Veterinaria]]=1,"APROBADO","NO APROBADO")</f>
        <v>NO APROBADO</v>
      </c>
      <c r="O716" t="str">
        <f>IF(Tabla1[[#This Row],[Repite compra?]]=1,"REPITE","NO REPITE")</f>
        <v>NO REPITE</v>
      </c>
      <c r="P716" t="str">
        <f>IF(Tabla1[[#This Row],[rating_segun encuesta a Consumidor]]&lt;5,"Regular",IF(Tabla1[[#This Row],[rating_segun encuesta a Consumidor]]&gt;8,"Excelente","Bueno"))</f>
        <v>Bueno</v>
      </c>
    </row>
    <row r="717" spans="1:16" x14ac:dyDescent="0.35">
      <c r="A717" s="1">
        <v>44036</v>
      </c>
      <c r="B717">
        <v>4470</v>
      </c>
      <c r="C717" t="s">
        <v>30</v>
      </c>
      <c r="D717">
        <v>186</v>
      </c>
      <c r="E717">
        <v>96.78</v>
      </c>
      <c r="F717">
        <v>0</v>
      </c>
      <c r="G717" t="s">
        <v>33</v>
      </c>
      <c r="H717" t="s">
        <v>22</v>
      </c>
      <c r="I717" t="s">
        <v>35</v>
      </c>
      <c r="J717" t="s">
        <v>29</v>
      </c>
      <c r="K717">
        <v>2</v>
      </c>
      <c r="L717">
        <v>1</v>
      </c>
      <c r="M717" s="2">
        <f t="shared" si="11"/>
        <v>18001.080000000002</v>
      </c>
      <c r="N717" s="2" t="str">
        <f>IF(Tabla1[[#This Row],[Aprobación_Veterinaria]]=1,"APROBADO","NO APROBADO")</f>
        <v>NO APROBADO</v>
      </c>
      <c r="O717" t="str">
        <f>IF(Tabla1[[#This Row],[Repite compra?]]=1,"REPITE","NO REPITE")</f>
        <v>REPITE</v>
      </c>
      <c r="P717" t="str">
        <f>IF(Tabla1[[#This Row],[rating_segun encuesta a Consumidor]]&lt;5,"Regular",IF(Tabla1[[#This Row],[rating_segun encuesta a Consumidor]]&gt;8,"Excelente","Bueno"))</f>
        <v>Regular</v>
      </c>
    </row>
    <row r="718" spans="1:16" x14ac:dyDescent="0.35">
      <c r="A718" s="1">
        <v>44148</v>
      </c>
      <c r="B718">
        <v>4523</v>
      </c>
      <c r="C718" t="s">
        <v>20</v>
      </c>
      <c r="D718">
        <v>64</v>
      </c>
      <c r="E718">
        <v>198.88800000000001</v>
      </c>
      <c r="F718">
        <v>0</v>
      </c>
      <c r="G718" t="s">
        <v>34</v>
      </c>
      <c r="H718" t="s">
        <v>22</v>
      </c>
      <c r="I718" t="s">
        <v>41</v>
      </c>
      <c r="J718" t="s">
        <v>23</v>
      </c>
      <c r="K718">
        <v>8</v>
      </c>
      <c r="L718">
        <v>0</v>
      </c>
      <c r="M718" s="2">
        <f t="shared" si="11"/>
        <v>12728.832</v>
      </c>
      <c r="N718" s="2" t="str">
        <f>IF(Tabla1[[#This Row],[Aprobación_Veterinaria]]=1,"APROBADO","NO APROBADO")</f>
        <v>NO APROBADO</v>
      </c>
      <c r="O718" t="str">
        <f>IF(Tabla1[[#This Row],[Repite compra?]]=1,"REPITE","NO REPITE")</f>
        <v>NO REPITE</v>
      </c>
      <c r="P718" t="str">
        <f>IF(Tabla1[[#This Row],[rating_segun encuesta a Consumidor]]&lt;5,"Regular",IF(Tabla1[[#This Row],[rating_segun encuesta a Consumidor]]&gt;8,"Excelente","Bueno"))</f>
        <v>Bueno</v>
      </c>
    </row>
    <row r="719" spans="1:16" x14ac:dyDescent="0.35">
      <c r="A719" s="1">
        <v>44163</v>
      </c>
      <c r="B719">
        <v>4484</v>
      </c>
      <c r="C719" t="s">
        <v>43</v>
      </c>
      <c r="D719">
        <v>95</v>
      </c>
      <c r="E719">
        <v>6.9960000000000004</v>
      </c>
      <c r="F719">
        <v>1</v>
      </c>
      <c r="G719" t="s">
        <v>36</v>
      </c>
      <c r="H719" t="s">
        <v>22</v>
      </c>
      <c r="I719" t="s">
        <v>28</v>
      </c>
      <c r="J719" t="s">
        <v>29</v>
      </c>
      <c r="K719">
        <v>1</v>
      </c>
      <c r="L719">
        <v>0</v>
      </c>
      <c r="M719" s="2">
        <f t="shared" si="11"/>
        <v>664.62</v>
      </c>
      <c r="N719" s="2" t="str">
        <f>IF(Tabla1[[#This Row],[Aprobación_Veterinaria]]=1,"APROBADO","NO APROBADO")</f>
        <v>APROBADO</v>
      </c>
      <c r="O719" t="str">
        <f>IF(Tabla1[[#This Row],[Repite compra?]]=1,"REPITE","NO REPITE")</f>
        <v>NO REPITE</v>
      </c>
      <c r="P719" t="str">
        <f>IF(Tabla1[[#This Row],[rating_segun encuesta a Consumidor]]&lt;5,"Regular",IF(Tabla1[[#This Row],[rating_segun encuesta a Consumidor]]&gt;8,"Excelente","Bueno"))</f>
        <v>Regular</v>
      </c>
    </row>
    <row r="720" spans="1:16" x14ac:dyDescent="0.35">
      <c r="A720" s="1">
        <v>44084</v>
      </c>
      <c r="B720">
        <v>4415</v>
      </c>
      <c r="C720" t="s">
        <v>30</v>
      </c>
      <c r="D720">
        <v>25</v>
      </c>
      <c r="E720">
        <v>50.22</v>
      </c>
      <c r="F720">
        <v>1</v>
      </c>
      <c r="G720" t="s">
        <v>37</v>
      </c>
      <c r="H720" t="s">
        <v>22</v>
      </c>
      <c r="I720" t="s">
        <v>35</v>
      </c>
      <c r="J720" t="s">
        <v>23</v>
      </c>
      <c r="K720">
        <v>9</v>
      </c>
      <c r="L720">
        <v>1</v>
      </c>
      <c r="M720" s="2">
        <f t="shared" si="11"/>
        <v>1255.5</v>
      </c>
      <c r="N720" s="2" t="str">
        <f>IF(Tabla1[[#This Row],[Aprobación_Veterinaria]]=1,"APROBADO","NO APROBADO")</f>
        <v>APROBADO</v>
      </c>
      <c r="O720" t="str">
        <f>IF(Tabla1[[#This Row],[Repite compra?]]=1,"REPITE","NO REPITE")</f>
        <v>REPITE</v>
      </c>
      <c r="P720" t="str">
        <f>IF(Tabla1[[#This Row],[rating_segun encuesta a Consumidor]]&lt;5,"Regular",IF(Tabla1[[#This Row],[rating_segun encuesta a Consumidor]]&gt;8,"Excelente","Bueno"))</f>
        <v>Excelente</v>
      </c>
    </row>
    <row r="721" spans="1:16" x14ac:dyDescent="0.35">
      <c r="A721" s="1">
        <v>44126</v>
      </c>
      <c r="B721">
        <v>4798</v>
      </c>
      <c r="C721" t="s">
        <v>26</v>
      </c>
      <c r="D721">
        <v>160</v>
      </c>
      <c r="E721">
        <v>37.008000000000003</v>
      </c>
      <c r="F721">
        <v>1</v>
      </c>
      <c r="G721" t="s">
        <v>40</v>
      </c>
      <c r="H721" t="s">
        <v>50</v>
      </c>
      <c r="I721" t="s">
        <v>18</v>
      </c>
      <c r="J721" t="s">
        <v>29</v>
      </c>
      <c r="K721">
        <v>7</v>
      </c>
      <c r="L721">
        <v>0</v>
      </c>
      <c r="M721" s="2">
        <f t="shared" si="11"/>
        <v>5921.2800000000007</v>
      </c>
      <c r="N721" s="2" t="str">
        <f>IF(Tabla1[[#This Row],[Aprobación_Veterinaria]]=1,"APROBADO","NO APROBADO")</f>
        <v>APROBADO</v>
      </c>
      <c r="O721" t="str">
        <f>IF(Tabla1[[#This Row],[Repite compra?]]=1,"REPITE","NO REPITE")</f>
        <v>NO REPITE</v>
      </c>
      <c r="P721" t="str">
        <f>IF(Tabla1[[#This Row],[rating_segun encuesta a Consumidor]]&lt;5,"Regular",IF(Tabla1[[#This Row],[rating_segun encuesta a Consumidor]]&gt;8,"Excelente","Bueno"))</f>
        <v>Bueno</v>
      </c>
    </row>
    <row r="722" spans="1:16" x14ac:dyDescent="0.35">
      <c r="A722" s="1">
        <v>43895</v>
      </c>
      <c r="B722">
        <v>4549</v>
      </c>
      <c r="C722" t="s">
        <v>47</v>
      </c>
      <c r="D722">
        <v>184</v>
      </c>
      <c r="E722">
        <v>152.62800000000001</v>
      </c>
      <c r="F722">
        <v>1</v>
      </c>
      <c r="G722" t="s">
        <v>16</v>
      </c>
      <c r="H722" t="s">
        <v>22</v>
      </c>
      <c r="I722" t="s">
        <v>28</v>
      </c>
      <c r="J722" t="s">
        <v>23</v>
      </c>
      <c r="K722">
        <v>10</v>
      </c>
      <c r="L722">
        <v>1</v>
      </c>
      <c r="M722" s="2">
        <f t="shared" si="11"/>
        <v>28083.552000000003</v>
      </c>
      <c r="N722" s="2" t="str">
        <f>IF(Tabla1[[#This Row],[Aprobación_Veterinaria]]=1,"APROBADO","NO APROBADO")</f>
        <v>APROBADO</v>
      </c>
      <c r="O722" t="str">
        <f>IF(Tabla1[[#This Row],[Repite compra?]]=1,"REPITE","NO REPITE")</f>
        <v>REPITE</v>
      </c>
      <c r="P722" t="str">
        <f>IF(Tabla1[[#This Row],[rating_segun encuesta a Consumidor]]&lt;5,"Regular",IF(Tabla1[[#This Row],[rating_segun encuesta a Consumidor]]&gt;8,"Excelente","Bueno"))</f>
        <v>Excelente</v>
      </c>
    </row>
    <row r="723" spans="1:16" x14ac:dyDescent="0.35">
      <c r="A723" s="1">
        <v>43966</v>
      </c>
      <c r="B723">
        <v>4423</v>
      </c>
      <c r="C723" t="s">
        <v>42</v>
      </c>
      <c r="D723">
        <v>179</v>
      </c>
      <c r="E723">
        <v>202.95600000000002</v>
      </c>
      <c r="F723">
        <v>1</v>
      </c>
      <c r="G723" t="s">
        <v>21</v>
      </c>
      <c r="H723" t="s">
        <v>22</v>
      </c>
      <c r="I723" t="s">
        <v>41</v>
      </c>
      <c r="J723" t="s">
        <v>23</v>
      </c>
      <c r="K723">
        <v>4</v>
      </c>
      <c r="L723">
        <v>1</v>
      </c>
      <c r="M723" s="2">
        <f t="shared" si="11"/>
        <v>36329.124000000003</v>
      </c>
      <c r="N723" s="2" t="str">
        <f>IF(Tabla1[[#This Row],[Aprobación_Veterinaria]]=1,"APROBADO","NO APROBADO")</f>
        <v>APROBADO</v>
      </c>
      <c r="O723" t="str">
        <f>IF(Tabla1[[#This Row],[Repite compra?]]=1,"REPITE","NO REPITE")</f>
        <v>REPITE</v>
      </c>
      <c r="P723" t="str">
        <f>IF(Tabla1[[#This Row],[rating_segun encuesta a Consumidor]]&lt;5,"Regular",IF(Tabla1[[#This Row],[rating_segun encuesta a Consumidor]]&gt;8,"Excelente","Bueno"))</f>
        <v>Regular</v>
      </c>
    </row>
    <row r="724" spans="1:16" x14ac:dyDescent="0.35">
      <c r="A724" s="1">
        <v>43874</v>
      </c>
      <c r="B724">
        <v>4418</v>
      </c>
      <c r="C724" t="s">
        <v>43</v>
      </c>
      <c r="D724">
        <v>88</v>
      </c>
      <c r="E724">
        <v>25.536000000000001</v>
      </c>
      <c r="F724">
        <v>1</v>
      </c>
      <c r="G724" t="s">
        <v>24</v>
      </c>
      <c r="H724" t="s">
        <v>22</v>
      </c>
      <c r="I724" t="s">
        <v>41</v>
      </c>
      <c r="J724" t="s">
        <v>29</v>
      </c>
      <c r="K724">
        <v>10</v>
      </c>
      <c r="L724">
        <v>1</v>
      </c>
      <c r="M724" s="2">
        <f t="shared" si="11"/>
        <v>2247.1680000000001</v>
      </c>
      <c r="N724" s="2" t="str">
        <f>IF(Tabla1[[#This Row],[Aprobación_Veterinaria]]=1,"APROBADO","NO APROBADO")</f>
        <v>APROBADO</v>
      </c>
      <c r="O724" t="str">
        <f>IF(Tabla1[[#This Row],[Repite compra?]]=1,"REPITE","NO REPITE")</f>
        <v>REPITE</v>
      </c>
      <c r="P724" t="str">
        <f>IF(Tabla1[[#This Row],[rating_segun encuesta a Consumidor]]&lt;5,"Regular",IF(Tabla1[[#This Row],[rating_segun encuesta a Consumidor]]&gt;8,"Excelente","Bueno"))</f>
        <v>Excelente</v>
      </c>
    </row>
    <row r="725" spans="1:16" x14ac:dyDescent="0.35">
      <c r="A725" s="1">
        <v>44133</v>
      </c>
      <c r="B725">
        <v>4359</v>
      </c>
      <c r="C725" t="s">
        <v>39</v>
      </c>
      <c r="D725">
        <v>85</v>
      </c>
      <c r="E725">
        <v>165.036</v>
      </c>
      <c r="F725">
        <v>1</v>
      </c>
      <c r="G725" t="s">
        <v>27</v>
      </c>
      <c r="H725" t="s">
        <v>22</v>
      </c>
      <c r="I725" t="s">
        <v>28</v>
      </c>
      <c r="J725" t="s">
        <v>23</v>
      </c>
      <c r="K725">
        <v>3</v>
      </c>
      <c r="L725">
        <v>1</v>
      </c>
      <c r="M725" s="2">
        <f t="shared" si="11"/>
        <v>14028.06</v>
      </c>
      <c r="N725" s="2" t="str">
        <f>IF(Tabla1[[#This Row],[Aprobación_Veterinaria]]=1,"APROBADO","NO APROBADO")</f>
        <v>APROBADO</v>
      </c>
      <c r="O725" t="str">
        <f>IF(Tabla1[[#This Row],[Repite compra?]]=1,"REPITE","NO REPITE")</f>
        <v>REPITE</v>
      </c>
      <c r="P725" t="str">
        <f>IF(Tabla1[[#This Row],[rating_segun encuesta a Consumidor]]&lt;5,"Regular",IF(Tabla1[[#This Row],[rating_segun encuesta a Consumidor]]&gt;8,"Excelente","Bueno"))</f>
        <v>Regular</v>
      </c>
    </row>
    <row r="726" spans="1:16" x14ac:dyDescent="0.35">
      <c r="A726" s="1">
        <v>44191</v>
      </c>
      <c r="B726">
        <v>4465</v>
      </c>
      <c r="C726" t="s">
        <v>46</v>
      </c>
      <c r="D726">
        <v>40</v>
      </c>
      <c r="E726">
        <v>8.4960000000000004</v>
      </c>
      <c r="F726">
        <v>0</v>
      </c>
      <c r="G726" t="s">
        <v>31</v>
      </c>
      <c r="H726" t="s">
        <v>22</v>
      </c>
      <c r="I726" t="s">
        <v>35</v>
      </c>
      <c r="J726" t="s">
        <v>23</v>
      </c>
      <c r="K726">
        <v>5</v>
      </c>
      <c r="L726">
        <v>1</v>
      </c>
      <c r="M726" s="2">
        <f t="shared" si="11"/>
        <v>339.84000000000003</v>
      </c>
      <c r="N726" s="2" t="str">
        <f>IF(Tabla1[[#This Row],[Aprobación_Veterinaria]]=1,"APROBADO","NO APROBADO")</f>
        <v>NO APROBADO</v>
      </c>
      <c r="O726" t="str">
        <f>IF(Tabla1[[#This Row],[Repite compra?]]=1,"REPITE","NO REPITE")</f>
        <v>REPITE</v>
      </c>
      <c r="P726" t="str">
        <f>IF(Tabla1[[#This Row],[rating_segun encuesta a Consumidor]]&lt;5,"Regular",IF(Tabla1[[#This Row],[rating_segun encuesta a Consumidor]]&gt;8,"Excelente","Bueno"))</f>
        <v>Bueno</v>
      </c>
    </row>
    <row r="727" spans="1:16" x14ac:dyDescent="0.35">
      <c r="A727" s="1">
        <v>43895</v>
      </c>
      <c r="B727">
        <v>4854</v>
      </c>
      <c r="C727" t="s">
        <v>15</v>
      </c>
      <c r="D727">
        <v>54</v>
      </c>
      <c r="E727">
        <v>121.236</v>
      </c>
      <c r="F727">
        <v>1</v>
      </c>
      <c r="G727" t="s">
        <v>33</v>
      </c>
      <c r="H727" t="s">
        <v>54</v>
      </c>
      <c r="I727" t="s">
        <v>18</v>
      </c>
      <c r="J727" t="s">
        <v>29</v>
      </c>
      <c r="K727">
        <v>1</v>
      </c>
      <c r="L727">
        <v>1</v>
      </c>
      <c r="M727" s="2">
        <f t="shared" si="11"/>
        <v>6546.7440000000006</v>
      </c>
      <c r="N727" s="2" t="str">
        <f>IF(Tabla1[[#This Row],[Aprobación_Veterinaria]]=1,"APROBADO","NO APROBADO")</f>
        <v>APROBADO</v>
      </c>
      <c r="O727" t="str">
        <f>IF(Tabla1[[#This Row],[Repite compra?]]=1,"REPITE","NO REPITE")</f>
        <v>REPITE</v>
      </c>
      <c r="P727" t="str">
        <f>IF(Tabla1[[#This Row],[rating_segun encuesta a Consumidor]]&lt;5,"Regular",IF(Tabla1[[#This Row],[rating_segun encuesta a Consumidor]]&gt;8,"Excelente","Bueno"))</f>
        <v>Regular</v>
      </c>
    </row>
    <row r="728" spans="1:16" x14ac:dyDescent="0.35">
      <c r="A728" s="1">
        <v>44026</v>
      </c>
      <c r="B728">
        <v>4993</v>
      </c>
      <c r="C728" t="s">
        <v>26</v>
      </c>
      <c r="D728">
        <v>29</v>
      </c>
      <c r="E728">
        <v>93.108000000000004</v>
      </c>
      <c r="F728">
        <v>1</v>
      </c>
      <c r="G728" t="s">
        <v>34</v>
      </c>
      <c r="H728" t="s">
        <v>50</v>
      </c>
      <c r="I728" t="s">
        <v>41</v>
      </c>
      <c r="J728" t="s">
        <v>49</v>
      </c>
      <c r="K728">
        <v>6</v>
      </c>
      <c r="L728">
        <v>0</v>
      </c>
      <c r="M728" s="2">
        <f t="shared" si="11"/>
        <v>2700.1320000000001</v>
      </c>
      <c r="N728" s="2" t="str">
        <f>IF(Tabla1[[#This Row],[Aprobación_Veterinaria]]=1,"APROBADO","NO APROBADO")</f>
        <v>APROBADO</v>
      </c>
      <c r="O728" t="str">
        <f>IF(Tabla1[[#This Row],[Repite compra?]]=1,"REPITE","NO REPITE")</f>
        <v>NO REPITE</v>
      </c>
      <c r="P728" t="str">
        <f>IF(Tabla1[[#This Row],[rating_segun encuesta a Consumidor]]&lt;5,"Regular",IF(Tabla1[[#This Row],[rating_segun encuesta a Consumidor]]&gt;8,"Excelente","Bueno"))</f>
        <v>Bueno</v>
      </c>
    </row>
    <row r="729" spans="1:16" x14ac:dyDescent="0.35">
      <c r="A729" s="1">
        <v>44159</v>
      </c>
      <c r="B729">
        <v>4601</v>
      </c>
      <c r="C729" t="s">
        <v>39</v>
      </c>
      <c r="D729">
        <v>172</v>
      </c>
      <c r="E729">
        <v>190.63200000000001</v>
      </c>
      <c r="F729">
        <v>1</v>
      </c>
      <c r="G729" t="s">
        <v>36</v>
      </c>
      <c r="H729" t="s">
        <v>22</v>
      </c>
      <c r="I729" t="s">
        <v>45</v>
      </c>
      <c r="J729" t="s">
        <v>23</v>
      </c>
      <c r="K729">
        <v>10</v>
      </c>
      <c r="L729">
        <v>0</v>
      </c>
      <c r="M729" s="2">
        <f t="shared" si="11"/>
        <v>32788.703999999998</v>
      </c>
      <c r="N729" s="2" t="str">
        <f>IF(Tabla1[[#This Row],[Aprobación_Veterinaria]]=1,"APROBADO","NO APROBADO")</f>
        <v>APROBADO</v>
      </c>
      <c r="O729" t="str">
        <f>IF(Tabla1[[#This Row],[Repite compra?]]=1,"REPITE","NO REPITE")</f>
        <v>NO REPITE</v>
      </c>
      <c r="P729" t="str">
        <f>IF(Tabla1[[#This Row],[rating_segun encuesta a Consumidor]]&lt;5,"Regular",IF(Tabla1[[#This Row],[rating_segun encuesta a Consumidor]]&gt;8,"Excelente","Bueno"))</f>
        <v>Excelente</v>
      </c>
    </row>
    <row r="730" spans="1:16" x14ac:dyDescent="0.35">
      <c r="A730" s="1">
        <v>43839</v>
      </c>
      <c r="B730">
        <v>4620</v>
      </c>
      <c r="C730" t="s">
        <v>32</v>
      </c>
      <c r="D730">
        <v>199</v>
      </c>
      <c r="E730">
        <v>12.468</v>
      </c>
      <c r="F730">
        <v>0</v>
      </c>
      <c r="G730" t="s">
        <v>37</v>
      </c>
      <c r="H730" t="s">
        <v>22</v>
      </c>
      <c r="I730" t="s">
        <v>35</v>
      </c>
      <c r="J730" t="s">
        <v>29</v>
      </c>
      <c r="K730">
        <v>10</v>
      </c>
      <c r="L730">
        <v>1</v>
      </c>
      <c r="M730" s="2">
        <f t="shared" si="11"/>
        <v>2481.1320000000001</v>
      </c>
      <c r="N730" s="2" t="str">
        <f>IF(Tabla1[[#This Row],[Aprobación_Veterinaria]]=1,"APROBADO","NO APROBADO")</f>
        <v>NO APROBADO</v>
      </c>
      <c r="O730" t="str">
        <f>IF(Tabla1[[#This Row],[Repite compra?]]=1,"REPITE","NO REPITE")</f>
        <v>REPITE</v>
      </c>
      <c r="P730" t="str">
        <f>IF(Tabla1[[#This Row],[rating_segun encuesta a Consumidor]]&lt;5,"Regular",IF(Tabla1[[#This Row],[rating_segun encuesta a Consumidor]]&gt;8,"Excelente","Bueno"))</f>
        <v>Excelente</v>
      </c>
    </row>
    <row r="731" spans="1:16" x14ac:dyDescent="0.35">
      <c r="A731" s="1">
        <v>43969</v>
      </c>
      <c r="B731">
        <v>4994</v>
      </c>
      <c r="C731" t="s">
        <v>20</v>
      </c>
      <c r="D731">
        <v>109</v>
      </c>
      <c r="E731">
        <v>65.88</v>
      </c>
      <c r="F731">
        <v>0</v>
      </c>
      <c r="G731" t="s">
        <v>40</v>
      </c>
      <c r="H731" t="s">
        <v>54</v>
      </c>
      <c r="I731" t="s">
        <v>18</v>
      </c>
      <c r="J731" t="s">
        <v>19</v>
      </c>
      <c r="K731">
        <v>6</v>
      </c>
      <c r="L731">
        <v>0</v>
      </c>
      <c r="M731" s="2">
        <f t="shared" si="11"/>
        <v>7180.9199999999992</v>
      </c>
      <c r="N731" s="2" t="str">
        <f>IF(Tabla1[[#This Row],[Aprobación_Veterinaria]]=1,"APROBADO","NO APROBADO")</f>
        <v>NO APROBADO</v>
      </c>
      <c r="O731" t="str">
        <f>IF(Tabla1[[#This Row],[Repite compra?]]=1,"REPITE","NO REPITE")</f>
        <v>NO REPITE</v>
      </c>
      <c r="P731" t="str">
        <f>IF(Tabla1[[#This Row],[rating_segun encuesta a Consumidor]]&lt;5,"Regular",IF(Tabla1[[#This Row],[rating_segun encuesta a Consumidor]]&gt;8,"Excelente","Bueno"))</f>
        <v>Bueno</v>
      </c>
    </row>
    <row r="732" spans="1:16" x14ac:dyDescent="0.35">
      <c r="A732" s="1">
        <v>44126</v>
      </c>
      <c r="B732">
        <v>5005</v>
      </c>
      <c r="C732" t="s">
        <v>26</v>
      </c>
      <c r="D732">
        <v>197</v>
      </c>
      <c r="E732">
        <v>18.204000000000001</v>
      </c>
      <c r="F732">
        <v>1</v>
      </c>
      <c r="G732" t="s">
        <v>16</v>
      </c>
      <c r="H732" t="s">
        <v>44</v>
      </c>
      <c r="I732" t="s">
        <v>41</v>
      </c>
      <c r="J732" t="s">
        <v>49</v>
      </c>
      <c r="K732">
        <v>6</v>
      </c>
      <c r="L732">
        <v>0</v>
      </c>
      <c r="M732" s="2">
        <f t="shared" si="11"/>
        <v>3586.1880000000001</v>
      </c>
      <c r="N732" s="2" t="str">
        <f>IF(Tabla1[[#This Row],[Aprobación_Veterinaria]]=1,"APROBADO","NO APROBADO")</f>
        <v>APROBADO</v>
      </c>
      <c r="O732" t="str">
        <f>IF(Tabla1[[#This Row],[Repite compra?]]=1,"REPITE","NO REPITE")</f>
        <v>NO REPITE</v>
      </c>
      <c r="P732" t="str">
        <f>IF(Tabla1[[#This Row],[rating_segun encuesta a Consumidor]]&lt;5,"Regular",IF(Tabla1[[#This Row],[rating_segun encuesta a Consumidor]]&gt;8,"Excelente","Bueno"))</f>
        <v>Bueno</v>
      </c>
    </row>
    <row r="733" spans="1:16" x14ac:dyDescent="0.35">
      <c r="A733" s="1">
        <v>44182</v>
      </c>
      <c r="B733">
        <v>4330</v>
      </c>
      <c r="C733" t="s">
        <v>43</v>
      </c>
      <c r="D733">
        <v>33</v>
      </c>
      <c r="E733">
        <v>93.048000000000002</v>
      </c>
      <c r="F733">
        <v>0</v>
      </c>
      <c r="G733" t="s">
        <v>21</v>
      </c>
      <c r="H733" t="s">
        <v>22</v>
      </c>
      <c r="I733" t="s">
        <v>35</v>
      </c>
      <c r="J733" t="s">
        <v>29</v>
      </c>
      <c r="K733">
        <v>4</v>
      </c>
      <c r="L733">
        <v>0</v>
      </c>
      <c r="M733" s="2">
        <f t="shared" si="11"/>
        <v>3070.5839999999998</v>
      </c>
      <c r="N733" s="2" t="str">
        <f>IF(Tabla1[[#This Row],[Aprobación_Veterinaria]]=1,"APROBADO","NO APROBADO")</f>
        <v>NO APROBADO</v>
      </c>
      <c r="O733" t="str">
        <f>IF(Tabla1[[#This Row],[Repite compra?]]=1,"REPITE","NO REPITE")</f>
        <v>NO REPITE</v>
      </c>
      <c r="P733" t="str">
        <f>IF(Tabla1[[#This Row],[rating_segun encuesta a Consumidor]]&lt;5,"Regular",IF(Tabla1[[#This Row],[rating_segun encuesta a Consumidor]]&gt;8,"Excelente","Bueno"))</f>
        <v>Regular</v>
      </c>
    </row>
    <row r="734" spans="1:16" x14ac:dyDescent="0.35">
      <c r="A734" s="1">
        <v>43939</v>
      </c>
      <c r="B734">
        <v>4532</v>
      </c>
      <c r="C734" t="s">
        <v>32</v>
      </c>
      <c r="D734">
        <v>67</v>
      </c>
      <c r="E734">
        <v>189.19200000000001</v>
      </c>
      <c r="F734">
        <v>1</v>
      </c>
      <c r="G734" t="s">
        <v>24</v>
      </c>
      <c r="H734" t="s">
        <v>22</v>
      </c>
      <c r="I734" t="s">
        <v>18</v>
      </c>
      <c r="J734" t="s">
        <v>29</v>
      </c>
      <c r="K734">
        <v>3</v>
      </c>
      <c r="L734">
        <v>0</v>
      </c>
      <c r="M734" s="2">
        <f t="shared" si="11"/>
        <v>12675.864000000001</v>
      </c>
      <c r="N734" s="2" t="str">
        <f>IF(Tabla1[[#This Row],[Aprobación_Veterinaria]]=1,"APROBADO","NO APROBADO")</f>
        <v>APROBADO</v>
      </c>
      <c r="O734" t="str">
        <f>IF(Tabla1[[#This Row],[Repite compra?]]=1,"REPITE","NO REPITE")</f>
        <v>NO REPITE</v>
      </c>
      <c r="P734" t="str">
        <f>IF(Tabla1[[#This Row],[rating_segun encuesta a Consumidor]]&lt;5,"Regular",IF(Tabla1[[#This Row],[rating_segun encuesta a Consumidor]]&gt;8,"Excelente","Bueno"))</f>
        <v>Regular</v>
      </c>
    </row>
    <row r="735" spans="1:16" x14ac:dyDescent="0.35">
      <c r="A735" s="1">
        <v>43902</v>
      </c>
      <c r="B735">
        <v>4366</v>
      </c>
      <c r="C735" t="s">
        <v>46</v>
      </c>
      <c r="D735">
        <v>124</v>
      </c>
      <c r="E735">
        <v>224.49600000000001</v>
      </c>
      <c r="F735">
        <v>0</v>
      </c>
      <c r="G735" t="s">
        <v>27</v>
      </c>
      <c r="H735" t="s">
        <v>22</v>
      </c>
      <c r="I735" t="s">
        <v>45</v>
      </c>
      <c r="J735" t="s">
        <v>29</v>
      </c>
      <c r="K735">
        <v>7</v>
      </c>
      <c r="L735">
        <v>1</v>
      </c>
      <c r="M735" s="2">
        <f t="shared" si="11"/>
        <v>27837.504000000001</v>
      </c>
      <c r="N735" s="2" t="str">
        <f>IF(Tabla1[[#This Row],[Aprobación_Veterinaria]]=1,"APROBADO","NO APROBADO")</f>
        <v>NO APROBADO</v>
      </c>
      <c r="O735" t="str">
        <f>IF(Tabla1[[#This Row],[Repite compra?]]=1,"REPITE","NO REPITE")</f>
        <v>REPITE</v>
      </c>
      <c r="P735" t="str">
        <f>IF(Tabla1[[#This Row],[rating_segun encuesta a Consumidor]]&lt;5,"Regular",IF(Tabla1[[#This Row],[rating_segun encuesta a Consumidor]]&gt;8,"Excelente","Bueno"))</f>
        <v>Bueno</v>
      </c>
    </row>
    <row r="736" spans="1:16" x14ac:dyDescent="0.35">
      <c r="A736" s="1">
        <v>43896</v>
      </c>
      <c r="B736">
        <v>4746</v>
      </c>
      <c r="C736" t="s">
        <v>43</v>
      </c>
      <c r="D736">
        <v>42</v>
      </c>
      <c r="E736">
        <v>132.54</v>
      </c>
      <c r="F736">
        <v>0</v>
      </c>
      <c r="G736" t="s">
        <v>31</v>
      </c>
      <c r="H736" t="s">
        <v>48</v>
      </c>
      <c r="I736" t="s">
        <v>18</v>
      </c>
      <c r="J736" t="s">
        <v>29</v>
      </c>
      <c r="K736">
        <v>7</v>
      </c>
      <c r="L736">
        <v>1</v>
      </c>
      <c r="M736" s="2">
        <f t="shared" si="11"/>
        <v>5566.6799999999994</v>
      </c>
      <c r="N736" s="2" t="str">
        <f>IF(Tabla1[[#This Row],[Aprobación_Veterinaria]]=1,"APROBADO","NO APROBADO")</f>
        <v>NO APROBADO</v>
      </c>
      <c r="O736" t="str">
        <f>IF(Tabla1[[#This Row],[Repite compra?]]=1,"REPITE","NO REPITE")</f>
        <v>REPITE</v>
      </c>
      <c r="P736" t="str">
        <f>IF(Tabla1[[#This Row],[rating_segun encuesta a Consumidor]]&lt;5,"Regular",IF(Tabla1[[#This Row],[rating_segun encuesta a Consumidor]]&gt;8,"Excelente","Bueno"))</f>
        <v>Bueno</v>
      </c>
    </row>
    <row r="737" spans="1:16" x14ac:dyDescent="0.35">
      <c r="A737" s="1">
        <v>43947</v>
      </c>
      <c r="B737">
        <v>4907</v>
      </c>
      <c r="C737" t="s">
        <v>20</v>
      </c>
      <c r="D737">
        <v>97</v>
      </c>
      <c r="E737">
        <v>27.42</v>
      </c>
      <c r="F737">
        <v>1</v>
      </c>
      <c r="G737" t="s">
        <v>33</v>
      </c>
      <c r="H737" t="s">
        <v>38</v>
      </c>
      <c r="I737" t="s">
        <v>41</v>
      </c>
      <c r="J737" t="s">
        <v>23</v>
      </c>
      <c r="K737">
        <v>6</v>
      </c>
      <c r="L737">
        <v>0</v>
      </c>
      <c r="M737" s="2">
        <f t="shared" si="11"/>
        <v>2659.7400000000002</v>
      </c>
      <c r="N737" s="2" t="str">
        <f>IF(Tabla1[[#This Row],[Aprobación_Veterinaria]]=1,"APROBADO","NO APROBADO")</f>
        <v>APROBADO</v>
      </c>
      <c r="O737" t="str">
        <f>IF(Tabla1[[#This Row],[Repite compra?]]=1,"REPITE","NO REPITE")</f>
        <v>NO REPITE</v>
      </c>
      <c r="P737" t="str">
        <f>IF(Tabla1[[#This Row],[rating_segun encuesta a Consumidor]]&lt;5,"Regular",IF(Tabla1[[#This Row],[rating_segun encuesta a Consumidor]]&gt;8,"Excelente","Bueno"))</f>
        <v>Bueno</v>
      </c>
    </row>
    <row r="738" spans="1:16" x14ac:dyDescent="0.35">
      <c r="A738" s="1">
        <v>44037</v>
      </c>
      <c r="B738">
        <v>4524</v>
      </c>
      <c r="C738" t="s">
        <v>39</v>
      </c>
      <c r="D738">
        <v>154</v>
      </c>
      <c r="E738">
        <v>87.960000000000008</v>
      </c>
      <c r="F738">
        <v>0</v>
      </c>
      <c r="G738" t="s">
        <v>34</v>
      </c>
      <c r="H738" t="s">
        <v>22</v>
      </c>
      <c r="I738" t="s">
        <v>28</v>
      </c>
      <c r="J738" t="s">
        <v>29</v>
      </c>
      <c r="K738">
        <v>5</v>
      </c>
      <c r="L738">
        <v>0</v>
      </c>
      <c r="M738" s="2">
        <f t="shared" si="11"/>
        <v>13545.840000000002</v>
      </c>
      <c r="N738" s="2" t="str">
        <f>IF(Tabla1[[#This Row],[Aprobación_Veterinaria]]=1,"APROBADO","NO APROBADO")</f>
        <v>NO APROBADO</v>
      </c>
      <c r="O738" t="str">
        <f>IF(Tabla1[[#This Row],[Repite compra?]]=1,"REPITE","NO REPITE")</f>
        <v>NO REPITE</v>
      </c>
      <c r="P738" t="str">
        <f>IF(Tabla1[[#This Row],[rating_segun encuesta a Consumidor]]&lt;5,"Regular",IF(Tabla1[[#This Row],[rating_segun encuesta a Consumidor]]&gt;8,"Excelente","Bueno"))</f>
        <v>Bueno</v>
      </c>
    </row>
    <row r="739" spans="1:16" x14ac:dyDescent="0.35">
      <c r="A739" s="1">
        <v>44180</v>
      </c>
      <c r="B739">
        <v>4992</v>
      </c>
      <c r="C739" t="s">
        <v>15</v>
      </c>
      <c r="D739">
        <v>12</v>
      </c>
      <c r="E739">
        <v>76.524000000000001</v>
      </c>
      <c r="F739">
        <v>1</v>
      </c>
      <c r="G739" t="s">
        <v>36</v>
      </c>
      <c r="H739" t="s">
        <v>38</v>
      </c>
      <c r="I739" t="s">
        <v>18</v>
      </c>
      <c r="J739" t="s">
        <v>19</v>
      </c>
      <c r="K739">
        <v>6</v>
      </c>
      <c r="L739">
        <v>0</v>
      </c>
      <c r="M739" s="2">
        <f t="shared" si="11"/>
        <v>918.28800000000001</v>
      </c>
      <c r="N739" s="2" t="str">
        <f>IF(Tabla1[[#This Row],[Aprobación_Veterinaria]]=1,"APROBADO","NO APROBADO")</f>
        <v>APROBADO</v>
      </c>
      <c r="O739" t="str">
        <f>IF(Tabla1[[#This Row],[Repite compra?]]=1,"REPITE","NO REPITE")</f>
        <v>NO REPITE</v>
      </c>
      <c r="P739" t="str">
        <f>IF(Tabla1[[#This Row],[rating_segun encuesta a Consumidor]]&lt;5,"Regular",IF(Tabla1[[#This Row],[rating_segun encuesta a Consumidor]]&gt;8,"Excelente","Bueno"))</f>
        <v>Bueno</v>
      </c>
    </row>
    <row r="740" spans="1:16" x14ac:dyDescent="0.35">
      <c r="A740" s="1">
        <v>44161</v>
      </c>
      <c r="B740">
        <v>4656</v>
      </c>
      <c r="C740" t="s">
        <v>39</v>
      </c>
      <c r="D740">
        <v>115</v>
      </c>
      <c r="E740">
        <v>169.66800000000001</v>
      </c>
      <c r="F740">
        <v>1</v>
      </c>
      <c r="G740" t="s">
        <v>37</v>
      </c>
      <c r="H740" t="s">
        <v>22</v>
      </c>
      <c r="I740" t="s">
        <v>45</v>
      </c>
      <c r="J740" t="s">
        <v>29</v>
      </c>
      <c r="K740">
        <v>10</v>
      </c>
      <c r="L740">
        <v>1</v>
      </c>
      <c r="M740" s="2">
        <f t="shared" si="11"/>
        <v>19511.82</v>
      </c>
      <c r="N740" s="2" t="str">
        <f>IF(Tabla1[[#This Row],[Aprobación_Veterinaria]]=1,"APROBADO","NO APROBADO")</f>
        <v>APROBADO</v>
      </c>
      <c r="O740" t="str">
        <f>IF(Tabla1[[#This Row],[Repite compra?]]=1,"REPITE","NO REPITE")</f>
        <v>REPITE</v>
      </c>
      <c r="P740" t="str">
        <f>IF(Tabla1[[#This Row],[rating_segun encuesta a Consumidor]]&lt;5,"Regular",IF(Tabla1[[#This Row],[rating_segun encuesta a Consumidor]]&gt;8,"Excelente","Bueno"))</f>
        <v>Excelente</v>
      </c>
    </row>
    <row r="741" spans="1:16" x14ac:dyDescent="0.35">
      <c r="A741" s="1">
        <v>43907</v>
      </c>
      <c r="B741">
        <v>4842</v>
      </c>
      <c r="C741" t="s">
        <v>15</v>
      </c>
      <c r="D741">
        <v>199</v>
      </c>
      <c r="E741">
        <v>13.428000000000001</v>
      </c>
      <c r="F741">
        <v>1</v>
      </c>
      <c r="G741" t="s">
        <v>40</v>
      </c>
      <c r="H741" t="s">
        <v>38</v>
      </c>
      <c r="I741" t="s">
        <v>18</v>
      </c>
      <c r="J741" t="s">
        <v>29</v>
      </c>
      <c r="K741">
        <v>1</v>
      </c>
      <c r="L741">
        <v>1</v>
      </c>
      <c r="M741" s="2">
        <f t="shared" si="11"/>
        <v>2672.172</v>
      </c>
      <c r="N741" s="2" t="str">
        <f>IF(Tabla1[[#This Row],[Aprobación_Veterinaria]]=1,"APROBADO","NO APROBADO")</f>
        <v>APROBADO</v>
      </c>
      <c r="O741" t="str">
        <f>IF(Tabla1[[#This Row],[Repite compra?]]=1,"REPITE","NO REPITE")</f>
        <v>REPITE</v>
      </c>
      <c r="P741" t="str">
        <f>IF(Tabla1[[#This Row],[rating_segun encuesta a Consumidor]]&lt;5,"Regular",IF(Tabla1[[#This Row],[rating_segun encuesta a Consumidor]]&gt;8,"Excelente","Bueno"))</f>
        <v>Regular</v>
      </c>
    </row>
    <row r="742" spans="1:16" x14ac:dyDescent="0.35">
      <c r="A742" s="1">
        <v>44058</v>
      </c>
      <c r="B742">
        <v>4460</v>
      </c>
      <c r="C742" t="s">
        <v>51</v>
      </c>
      <c r="D742">
        <v>200</v>
      </c>
      <c r="E742">
        <v>56.375999999999998</v>
      </c>
      <c r="F742">
        <v>1</v>
      </c>
      <c r="G742" t="s">
        <v>16</v>
      </c>
      <c r="H742" t="s">
        <v>22</v>
      </c>
      <c r="I742" t="s">
        <v>35</v>
      </c>
      <c r="J742" t="s">
        <v>29</v>
      </c>
      <c r="K742">
        <v>3</v>
      </c>
      <c r="L742">
        <v>1</v>
      </c>
      <c r="M742" s="2">
        <f t="shared" si="11"/>
        <v>11275.199999999999</v>
      </c>
      <c r="N742" s="2" t="str">
        <f>IF(Tabla1[[#This Row],[Aprobación_Veterinaria]]=1,"APROBADO","NO APROBADO")</f>
        <v>APROBADO</v>
      </c>
      <c r="O742" t="str">
        <f>IF(Tabla1[[#This Row],[Repite compra?]]=1,"REPITE","NO REPITE")</f>
        <v>REPITE</v>
      </c>
      <c r="P742" t="str">
        <f>IF(Tabla1[[#This Row],[rating_segun encuesta a Consumidor]]&lt;5,"Regular",IF(Tabla1[[#This Row],[rating_segun encuesta a Consumidor]]&gt;8,"Excelente","Bueno"))</f>
        <v>Regular</v>
      </c>
    </row>
    <row r="743" spans="1:16" x14ac:dyDescent="0.35">
      <c r="A743" s="1">
        <v>44080</v>
      </c>
      <c r="B743">
        <v>4968</v>
      </c>
      <c r="C743" t="s">
        <v>15</v>
      </c>
      <c r="D743">
        <v>123</v>
      </c>
      <c r="E743">
        <v>184.15200000000002</v>
      </c>
      <c r="F743">
        <v>1</v>
      </c>
      <c r="G743" t="s">
        <v>21</v>
      </c>
      <c r="H743" t="s">
        <v>50</v>
      </c>
      <c r="I743" t="s">
        <v>18</v>
      </c>
      <c r="J743" t="s">
        <v>19</v>
      </c>
      <c r="K743">
        <v>6</v>
      </c>
      <c r="L743">
        <v>0</v>
      </c>
      <c r="M743" s="2">
        <f t="shared" si="11"/>
        <v>22650.696000000004</v>
      </c>
      <c r="N743" s="2" t="str">
        <f>IF(Tabla1[[#This Row],[Aprobación_Veterinaria]]=1,"APROBADO","NO APROBADO")</f>
        <v>APROBADO</v>
      </c>
      <c r="O743" t="str">
        <f>IF(Tabla1[[#This Row],[Repite compra?]]=1,"REPITE","NO REPITE")</f>
        <v>NO REPITE</v>
      </c>
      <c r="P743" t="str">
        <f>IF(Tabla1[[#This Row],[rating_segun encuesta a Consumidor]]&lt;5,"Regular",IF(Tabla1[[#This Row],[rating_segun encuesta a Consumidor]]&gt;8,"Excelente","Bueno"))</f>
        <v>Bueno</v>
      </c>
    </row>
    <row r="744" spans="1:16" x14ac:dyDescent="0.35">
      <c r="A744" s="1">
        <v>44091</v>
      </c>
      <c r="B744">
        <v>4553</v>
      </c>
      <c r="C744" t="s">
        <v>46</v>
      </c>
      <c r="D744">
        <v>110</v>
      </c>
      <c r="E744">
        <v>43.86</v>
      </c>
      <c r="F744">
        <v>1</v>
      </c>
      <c r="G744" t="s">
        <v>24</v>
      </c>
      <c r="H744" t="s">
        <v>22</v>
      </c>
      <c r="I744" t="s">
        <v>41</v>
      </c>
      <c r="J744" t="s">
        <v>23</v>
      </c>
      <c r="K744">
        <v>10</v>
      </c>
      <c r="L744">
        <v>1</v>
      </c>
      <c r="M744" s="2">
        <f t="shared" si="11"/>
        <v>4824.6000000000004</v>
      </c>
      <c r="N744" s="2" t="str">
        <f>IF(Tabla1[[#This Row],[Aprobación_Veterinaria]]=1,"APROBADO","NO APROBADO")</f>
        <v>APROBADO</v>
      </c>
      <c r="O744" t="str">
        <f>IF(Tabla1[[#This Row],[Repite compra?]]=1,"REPITE","NO REPITE")</f>
        <v>REPITE</v>
      </c>
      <c r="P744" t="str">
        <f>IF(Tabla1[[#This Row],[rating_segun encuesta a Consumidor]]&lt;5,"Regular",IF(Tabla1[[#This Row],[rating_segun encuesta a Consumidor]]&gt;8,"Excelente","Bueno"))</f>
        <v>Excelente</v>
      </c>
    </row>
    <row r="745" spans="1:16" x14ac:dyDescent="0.35">
      <c r="A745" s="1">
        <v>44094</v>
      </c>
      <c r="B745">
        <v>4438</v>
      </c>
      <c r="C745" t="s">
        <v>51</v>
      </c>
      <c r="D745">
        <v>76</v>
      </c>
      <c r="E745">
        <v>31.728000000000002</v>
      </c>
      <c r="F745">
        <v>0</v>
      </c>
      <c r="G745" t="s">
        <v>27</v>
      </c>
      <c r="H745" t="s">
        <v>22</v>
      </c>
      <c r="I745" t="s">
        <v>41</v>
      </c>
      <c r="J745" t="s">
        <v>29</v>
      </c>
      <c r="K745">
        <v>7</v>
      </c>
      <c r="L745">
        <v>0</v>
      </c>
      <c r="M745" s="2">
        <f t="shared" si="11"/>
        <v>2411.328</v>
      </c>
      <c r="N745" s="2" t="str">
        <f>IF(Tabla1[[#This Row],[Aprobación_Veterinaria]]=1,"APROBADO","NO APROBADO")</f>
        <v>NO APROBADO</v>
      </c>
      <c r="O745" t="str">
        <f>IF(Tabla1[[#This Row],[Repite compra?]]=1,"REPITE","NO REPITE")</f>
        <v>NO REPITE</v>
      </c>
      <c r="P745" t="str">
        <f>IF(Tabla1[[#This Row],[rating_segun encuesta a Consumidor]]&lt;5,"Regular",IF(Tabla1[[#This Row],[rating_segun encuesta a Consumidor]]&gt;8,"Excelente","Bueno"))</f>
        <v>Bueno</v>
      </c>
    </row>
    <row r="746" spans="1:16" x14ac:dyDescent="0.35">
      <c r="A746" s="1">
        <v>43901</v>
      </c>
      <c r="B746">
        <v>4365</v>
      </c>
      <c r="C746" t="s">
        <v>15</v>
      </c>
      <c r="D746">
        <v>179</v>
      </c>
      <c r="E746">
        <v>191.328</v>
      </c>
      <c r="F746">
        <v>1</v>
      </c>
      <c r="G746" t="s">
        <v>31</v>
      </c>
      <c r="H746" t="s">
        <v>22</v>
      </c>
      <c r="I746" t="s">
        <v>35</v>
      </c>
      <c r="J746" t="s">
        <v>23</v>
      </c>
      <c r="K746">
        <v>9</v>
      </c>
      <c r="L746">
        <v>1</v>
      </c>
      <c r="M746" s="2">
        <f t="shared" si="11"/>
        <v>34247.712</v>
      </c>
      <c r="N746" s="2" t="str">
        <f>IF(Tabla1[[#This Row],[Aprobación_Veterinaria]]=1,"APROBADO","NO APROBADO")</f>
        <v>APROBADO</v>
      </c>
      <c r="O746" t="str">
        <f>IF(Tabla1[[#This Row],[Repite compra?]]=1,"REPITE","NO REPITE")</f>
        <v>REPITE</v>
      </c>
      <c r="P746" t="str">
        <f>IF(Tabla1[[#This Row],[rating_segun encuesta a Consumidor]]&lt;5,"Regular",IF(Tabla1[[#This Row],[rating_segun encuesta a Consumidor]]&gt;8,"Excelente","Bueno"))</f>
        <v>Excelente</v>
      </c>
    </row>
    <row r="747" spans="1:16" x14ac:dyDescent="0.35">
      <c r="A747" s="1">
        <v>44018</v>
      </c>
      <c r="B747">
        <v>4274</v>
      </c>
      <c r="C747" t="s">
        <v>47</v>
      </c>
      <c r="D747">
        <v>218</v>
      </c>
      <c r="E747">
        <v>177.58799999999999</v>
      </c>
      <c r="F747">
        <v>0</v>
      </c>
      <c r="G747" t="s">
        <v>33</v>
      </c>
      <c r="H747" t="s">
        <v>22</v>
      </c>
      <c r="I747" t="s">
        <v>28</v>
      </c>
      <c r="J747" t="s">
        <v>29</v>
      </c>
      <c r="K747">
        <v>8</v>
      </c>
      <c r="L747">
        <v>0</v>
      </c>
      <c r="M747" s="2">
        <f t="shared" si="11"/>
        <v>38714.184000000001</v>
      </c>
      <c r="N747" s="2" t="str">
        <f>IF(Tabla1[[#This Row],[Aprobación_Veterinaria]]=1,"APROBADO","NO APROBADO")</f>
        <v>NO APROBADO</v>
      </c>
      <c r="O747" t="str">
        <f>IF(Tabla1[[#This Row],[Repite compra?]]=1,"REPITE","NO REPITE")</f>
        <v>NO REPITE</v>
      </c>
      <c r="P747" t="str">
        <f>IF(Tabla1[[#This Row],[rating_segun encuesta a Consumidor]]&lt;5,"Regular",IF(Tabla1[[#This Row],[rating_segun encuesta a Consumidor]]&gt;8,"Excelente","Bueno"))</f>
        <v>Bueno</v>
      </c>
    </row>
    <row r="748" spans="1:16" x14ac:dyDescent="0.35">
      <c r="A748" s="1">
        <v>43973</v>
      </c>
      <c r="B748">
        <v>4715</v>
      </c>
      <c r="C748" t="s">
        <v>30</v>
      </c>
      <c r="D748">
        <v>196</v>
      </c>
      <c r="E748">
        <v>34.271999999999998</v>
      </c>
      <c r="F748">
        <v>0</v>
      </c>
      <c r="G748" t="s">
        <v>34</v>
      </c>
      <c r="H748" t="s">
        <v>44</v>
      </c>
      <c r="I748" t="s">
        <v>41</v>
      </c>
      <c r="J748" t="s">
        <v>23</v>
      </c>
      <c r="K748">
        <v>10</v>
      </c>
      <c r="L748">
        <v>0</v>
      </c>
      <c r="M748" s="2">
        <f t="shared" si="11"/>
        <v>6717.3119999999999</v>
      </c>
      <c r="N748" s="2" t="str">
        <f>IF(Tabla1[[#This Row],[Aprobación_Veterinaria]]=1,"APROBADO","NO APROBADO")</f>
        <v>NO APROBADO</v>
      </c>
      <c r="O748" t="str">
        <f>IF(Tabla1[[#This Row],[Repite compra?]]=1,"REPITE","NO REPITE")</f>
        <v>NO REPITE</v>
      </c>
      <c r="P748" t="str">
        <f>IF(Tabla1[[#This Row],[rating_segun encuesta a Consumidor]]&lt;5,"Regular",IF(Tabla1[[#This Row],[rating_segun encuesta a Consumidor]]&gt;8,"Excelente","Bueno"))</f>
        <v>Excelente</v>
      </c>
    </row>
    <row r="749" spans="1:16" x14ac:dyDescent="0.35">
      <c r="A749" s="1">
        <v>43938</v>
      </c>
      <c r="B749">
        <v>4559</v>
      </c>
      <c r="C749" t="s">
        <v>51</v>
      </c>
      <c r="D749">
        <v>175</v>
      </c>
      <c r="E749">
        <v>100.34400000000001</v>
      </c>
      <c r="F749">
        <v>0</v>
      </c>
      <c r="G749" t="s">
        <v>36</v>
      </c>
      <c r="H749" t="s">
        <v>22</v>
      </c>
      <c r="I749" t="s">
        <v>28</v>
      </c>
      <c r="J749" t="s">
        <v>23</v>
      </c>
      <c r="K749">
        <v>10</v>
      </c>
      <c r="L749">
        <v>0</v>
      </c>
      <c r="M749" s="2">
        <f t="shared" si="11"/>
        <v>17560.2</v>
      </c>
      <c r="N749" s="2" t="str">
        <f>IF(Tabla1[[#This Row],[Aprobación_Veterinaria]]=1,"APROBADO","NO APROBADO")</f>
        <v>NO APROBADO</v>
      </c>
      <c r="O749" t="str">
        <f>IF(Tabla1[[#This Row],[Repite compra?]]=1,"REPITE","NO REPITE")</f>
        <v>NO REPITE</v>
      </c>
      <c r="P749" t="str">
        <f>IF(Tabla1[[#This Row],[rating_segun encuesta a Consumidor]]&lt;5,"Regular",IF(Tabla1[[#This Row],[rating_segun encuesta a Consumidor]]&gt;8,"Excelente","Bueno"))</f>
        <v>Excelente</v>
      </c>
    </row>
    <row r="750" spans="1:16" x14ac:dyDescent="0.35">
      <c r="A750" s="1">
        <v>44035</v>
      </c>
      <c r="B750">
        <v>4223</v>
      </c>
      <c r="C750" t="s">
        <v>46</v>
      </c>
      <c r="D750">
        <v>193</v>
      </c>
      <c r="E750">
        <v>153.024</v>
      </c>
      <c r="F750">
        <v>1</v>
      </c>
      <c r="G750" t="s">
        <v>37</v>
      </c>
      <c r="H750" t="s">
        <v>22</v>
      </c>
      <c r="I750" t="s">
        <v>41</v>
      </c>
      <c r="J750" t="s">
        <v>19</v>
      </c>
      <c r="K750">
        <v>3</v>
      </c>
      <c r="L750">
        <v>0</v>
      </c>
      <c r="M750" s="2">
        <f t="shared" si="11"/>
        <v>29533.632000000001</v>
      </c>
      <c r="N750" s="2" t="str">
        <f>IF(Tabla1[[#This Row],[Aprobación_Veterinaria]]=1,"APROBADO","NO APROBADO")</f>
        <v>APROBADO</v>
      </c>
      <c r="O750" t="str">
        <f>IF(Tabla1[[#This Row],[Repite compra?]]=1,"REPITE","NO REPITE")</f>
        <v>NO REPITE</v>
      </c>
      <c r="P750" t="str">
        <f>IF(Tabla1[[#This Row],[rating_segun encuesta a Consumidor]]&lt;5,"Regular",IF(Tabla1[[#This Row],[rating_segun encuesta a Consumidor]]&gt;8,"Excelente","Bueno"))</f>
        <v>Regular</v>
      </c>
    </row>
    <row r="751" spans="1:16" x14ac:dyDescent="0.35">
      <c r="A751" s="1">
        <v>43991</v>
      </c>
      <c r="B751">
        <v>4202</v>
      </c>
      <c r="C751" t="s">
        <v>32</v>
      </c>
      <c r="D751">
        <v>170</v>
      </c>
      <c r="E751">
        <v>45.192</v>
      </c>
      <c r="F751">
        <v>0</v>
      </c>
      <c r="G751" t="s">
        <v>40</v>
      </c>
      <c r="H751" t="s">
        <v>22</v>
      </c>
      <c r="I751" t="s">
        <v>18</v>
      </c>
      <c r="J751" t="s">
        <v>29</v>
      </c>
      <c r="K751">
        <v>7</v>
      </c>
      <c r="L751">
        <v>0</v>
      </c>
      <c r="M751" s="2">
        <f t="shared" si="11"/>
        <v>7682.64</v>
      </c>
      <c r="N751" s="2" t="str">
        <f>IF(Tabla1[[#This Row],[Aprobación_Veterinaria]]=1,"APROBADO","NO APROBADO")</f>
        <v>NO APROBADO</v>
      </c>
      <c r="O751" t="str">
        <f>IF(Tabla1[[#This Row],[Repite compra?]]=1,"REPITE","NO REPITE")</f>
        <v>NO REPITE</v>
      </c>
      <c r="P751" t="str">
        <f>IF(Tabla1[[#This Row],[rating_segun encuesta a Consumidor]]&lt;5,"Regular",IF(Tabla1[[#This Row],[rating_segun encuesta a Consumidor]]&gt;8,"Excelente","Bueno"))</f>
        <v>Bueno</v>
      </c>
    </row>
    <row r="752" spans="1:16" x14ac:dyDescent="0.35">
      <c r="A752" s="1">
        <v>44031</v>
      </c>
      <c r="B752">
        <v>4210</v>
      </c>
      <c r="C752" t="s">
        <v>26</v>
      </c>
      <c r="D752">
        <v>148</v>
      </c>
      <c r="E752">
        <v>190.86</v>
      </c>
      <c r="F752">
        <v>1</v>
      </c>
      <c r="G752" t="s">
        <v>16</v>
      </c>
      <c r="H752" t="s">
        <v>22</v>
      </c>
      <c r="I752" t="s">
        <v>35</v>
      </c>
      <c r="J752" t="s">
        <v>53</v>
      </c>
      <c r="K752">
        <v>10</v>
      </c>
      <c r="L752">
        <v>0</v>
      </c>
      <c r="M752" s="2">
        <f t="shared" si="11"/>
        <v>28247.280000000002</v>
      </c>
      <c r="N752" s="2" t="str">
        <f>IF(Tabla1[[#This Row],[Aprobación_Veterinaria]]=1,"APROBADO","NO APROBADO")</f>
        <v>APROBADO</v>
      </c>
      <c r="O752" t="str">
        <f>IF(Tabla1[[#This Row],[Repite compra?]]=1,"REPITE","NO REPITE")</f>
        <v>NO REPITE</v>
      </c>
      <c r="P752" t="str">
        <f>IF(Tabla1[[#This Row],[rating_segun encuesta a Consumidor]]&lt;5,"Regular",IF(Tabla1[[#This Row],[rating_segun encuesta a Consumidor]]&gt;8,"Excelente","Bueno"))</f>
        <v>Excelente</v>
      </c>
    </row>
    <row r="753" spans="1:16" x14ac:dyDescent="0.35">
      <c r="A753" s="1">
        <v>44090</v>
      </c>
      <c r="B753">
        <v>5037</v>
      </c>
      <c r="C753" t="s">
        <v>15</v>
      </c>
      <c r="D753">
        <v>157</v>
      </c>
      <c r="E753">
        <v>0.32400000000000001</v>
      </c>
      <c r="F753">
        <v>1</v>
      </c>
      <c r="G753" t="s">
        <v>21</v>
      </c>
      <c r="H753" t="s">
        <v>52</v>
      </c>
      <c r="I753" t="s">
        <v>41</v>
      </c>
      <c r="J753" t="s">
        <v>49</v>
      </c>
      <c r="K753">
        <v>7</v>
      </c>
      <c r="L753">
        <v>1</v>
      </c>
      <c r="M753" s="2">
        <f t="shared" si="11"/>
        <v>50.868000000000002</v>
      </c>
      <c r="N753" s="2" t="str">
        <f>IF(Tabla1[[#This Row],[Aprobación_Veterinaria]]=1,"APROBADO","NO APROBADO")</f>
        <v>APROBADO</v>
      </c>
      <c r="O753" t="str">
        <f>IF(Tabla1[[#This Row],[Repite compra?]]=1,"REPITE","NO REPITE")</f>
        <v>REPITE</v>
      </c>
      <c r="P753" t="str">
        <f>IF(Tabla1[[#This Row],[rating_segun encuesta a Consumidor]]&lt;5,"Regular",IF(Tabla1[[#This Row],[rating_segun encuesta a Consumidor]]&gt;8,"Excelente","Bueno"))</f>
        <v>Bueno</v>
      </c>
    </row>
    <row r="754" spans="1:16" x14ac:dyDescent="0.35">
      <c r="A754" s="1">
        <v>43977</v>
      </c>
      <c r="B754">
        <v>4889</v>
      </c>
      <c r="C754" t="s">
        <v>20</v>
      </c>
      <c r="D754">
        <v>127</v>
      </c>
      <c r="E754">
        <v>170.11199999999999</v>
      </c>
      <c r="F754">
        <v>1</v>
      </c>
      <c r="G754" t="s">
        <v>24</v>
      </c>
      <c r="H754" t="s">
        <v>54</v>
      </c>
      <c r="I754" t="s">
        <v>41</v>
      </c>
      <c r="J754" t="s">
        <v>23</v>
      </c>
      <c r="K754">
        <v>6</v>
      </c>
      <c r="L754">
        <v>0</v>
      </c>
      <c r="M754" s="2">
        <f t="shared" si="11"/>
        <v>21604.223999999998</v>
      </c>
      <c r="N754" s="2" t="str">
        <f>IF(Tabla1[[#This Row],[Aprobación_Veterinaria]]=1,"APROBADO","NO APROBADO")</f>
        <v>APROBADO</v>
      </c>
      <c r="O754" t="str">
        <f>IF(Tabla1[[#This Row],[Repite compra?]]=1,"REPITE","NO REPITE")</f>
        <v>NO REPITE</v>
      </c>
      <c r="P754" t="str">
        <f>IF(Tabla1[[#This Row],[rating_segun encuesta a Consumidor]]&lt;5,"Regular",IF(Tabla1[[#This Row],[rating_segun encuesta a Consumidor]]&gt;8,"Excelente","Bueno"))</f>
        <v>Bueno</v>
      </c>
    </row>
    <row r="755" spans="1:16" x14ac:dyDescent="0.35">
      <c r="A755" s="1">
        <v>44069</v>
      </c>
      <c r="B755">
        <v>4399</v>
      </c>
      <c r="C755" t="s">
        <v>46</v>
      </c>
      <c r="D755">
        <v>219</v>
      </c>
      <c r="E755">
        <v>57.048000000000002</v>
      </c>
      <c r="F755">
        <v>0</v>
      </c>
      <c r="G755" t="s">
        <v>27</v>
      </c>
      <c r="H755" t="s">
        <v>22</v>
      </c>
      <c r="I755" t="s">
        <v>28</v>
      </c>
      <c r="J755" t="s">
        <v>23</v>
      </c>
      <c r="K755">
        <v>10</v>
      </c>
      <c r="L755">
        <v>0</v>
      </c>
      <c r="M755" s="2">
        <f t="shared" si="11"/>
        <v>12493.512000000001</v>
      </c>
      <c r="N755" s="2" t="str">
        <f>IF(Tabla1[[#This Row],[Aprobación_Veterinaria]]=1,"APROBADO","NO APROBADO")</f>
        <v>NO APROBADO</v>
      </c>
      <c r="O755" t="str">
        <f>IF(Tabla1[[#This Row],[Repite compra?]]=1,"REPITE","NO REPITE")</f>
        <v>NO REPITE</v>
      </c>
      <c r="P755" t="str">
        <f>IF(Tabla1[[#This Row],[rating_segun encuesta a Consumidor]]&lt;5,"Regular",IF(Tabla1[[#This Row],[rating_segun encuesta a Consumidor]]&gt;8,"Excelente","Bueno"))</f>
        <v>Excelente</v>
      </c>
    </row>
    <row r="756" spans="1:16" x14ac:dyDescent="0.35">
      <c r="A756" s="1">
        <v>44160</v>
      </c>
      <c r="B756">
        <v>4621</v>
      </c>
      <c r="C756" t="s">
        <v>42</v>
      </c>
      <c r="D756">
        <v>181</v>
      </c>
      <c r="E756">
        <v>52.5</v>
      </c>
      <c r="F756">
        <v>1</v>
      </c>
      <c r="G756" t="s">
        <v>31</v>
      </c>
      <c r="H756" t="s">
        <v>22</v>
      </c>
      <c r="I756" t="s">
        <v>45</v>
      </c>
      <c r="J756" t="s">
        <v>23</v>
      </c>
      <c r="K756">
        <v>10</v>
      </c>
      <c r="L756">
        <v>1</v>
      </c>
      <c r="M756" s="2">
        <f t="shared" si="11"/>
        <v>9502.5</v>
      </c>
      <c r="N756" s="2" t="str">
        <f>IF(Tabla1[[#This Row],[Aprobación_Veterinaria]]=1,"APROBADO","NO APROBADO")</f>
        <v>APROBADO</v>
      </c>
      <c r="O756" t="str">
        <f>IF(Tabla1[[#This Row],[Repite compra?]]=1,"REPITE","NO REPITE")</f>
        <v>REPITE</v>
      </c>
      <c r="P756" t="str">
        <f>IF(Tabla1[[#This Row],[rating_segun encuesta a Consumidor]]&lt;5,"Regular",IF(Tabla1[[#This Row],[rating_segun encuesta a Consumidor]]&gt;8,"Excelente","Bueno"))</f>
        <v>Excelente</v>
      </c>
    </row>
    <row r="757" spans="1:16" x14ac:dyDescent="0.35">
      <c r="A757" s="1">
        <v>44121</v>
      </c>
      <c r="B757">
        <v>4395</v>
      </c>
      <c r="C757" t="s">
        <v>47</v>
      </c>
      <c r="D757">
        <v>173</v>
      </c>
      <c r="E757">
        <v>175.96800000000002</v>
      </c>
      <c r="F757">
        <v>1</v>
      </c>
      <c r="G757" t="s">
        <v>33</v>
      </c>
      <c r="H757" t="s">
        <v>22</v>
      </c>
      <c r="I757" t="s">
        <v>35</v>
      </c>
      <c r="J757" t="s">
        <v>23</v>
      </c>
      <c r="K757">
        <v>3</v>
      </c>
      <c r="L757">
        <v>0</v>
      </c>
      <c r="M757" s="2">
        <f t="shared" si="11"/>
        <v>30442.464000000004</v>
      </c>
      <c r="N757" s="2" t="str">
        <f>IF(Tabla1[[#This Row],[Aprobación_Veterinaria]]=1,"APROBADO","NO APROBADO")</f>
        <v>APROBADO</v>
      </c>
      <c r="O757" t="str">
        <f>IF(Tabla1[[#This Row],[Repite compra?]]=1,"REPITE","NO REPITE")</f>
        <v>NO REPITE</v>
      </c>
      <c r="P757" t="str">
        <f>IF(Tabla1[[#This Row],[rating_segun encuesta a Consumidor]]&lt;5,"Regular",IF(Tabla1[[#This Row],[rating_segun encuesta a Consumidor]]&gt;8,"Excelente","Bueno"))</f>
        <v>Regular</v>
      </c>
    </row>
    <row r="758" spans="1:16" x14ac:dyDescent="0.35">
      <c r="A758" s="1">
        <v>44008</v>
      </c>
      <c r="B758">
        <v>4357</v>
      </c>
      <c r="C758" t="s">
        <v>42</v>
      </c>
      <c r="D758">
        <v>31</v>
      </c>
      <c r="E758">
        <v>96.671999999999997</v>
      </c>
      <c r="F758">
        <v>1</v>
      </c>
      <c r="G758" t="s">
        <v>34</v>
      </c>
      <c r="H758" t="s">
        <v>22</v>
      </c>
      <c r="I758" t="s">
        <v>18</v>
      </c>
      <c r="J758" t="s">
        <v>23</v>
      </c>
      <c r="K758">
        <v>3</v>
      </c>
      <c r="L758">
        <v>1</v>
      </c>
      <c r="M758" s="2">
        <f t="shared" si="11"/>
        <v>2996.8319999999999</v>
      </c>
      <c r="N758" s="2" t="str">
        <f>IF(Tabla1[[#This Row],[Aprobación_Veterinaria]]=1,"APROBADO","NO APROBADO")</f>
        <v>APROBADO</v>
      </c>
      <c r="O758" t="str">
        <f>IF(Tabla1[[#This Row],[Repite compra?]]=1,"REPITE","NO REPITE")</f>
        <v>REPITE</v>
      </c>
      <c r="P758" t="str">
        <f>IF(Tabla1[[#This Row],[rating_segun encuesta a Consumidor]]&lt;5,"Regular",IF(Tabla1[[#This Row],[rating_segun encuesta a Consumidor]]&gt;8,"Excelente","Bueno"))</f>
        <v>Regular</v>
      </c>
    </row>
    <row r="759" spans="1:16" x14ac:dyDescent="0.35">
      <c r="A759" s="1">
        <v>43952</v>
      </c>
      <c r="B759">
        <v>5016</v>
      </c>
      <c r="C759" t="s">
        <v>15</v>
      </c>
      <c r="D759">
        <v>159</v>
      </c>
      <c r="E759">
        <v>151.30799999999999</v>
      </c>
      <c r="F759">
        <v>1</v>
      </c>
      <c r="G759" t="s">
        <v>36</v>
      </c>
      <c r="H759" t="s">
        <v>48</v>
      </c>
      <c r="I759" t="s">
        <v>18</v>
      </c>
      <c r="J759" t="s">
        <v>19</v>
      </c>
      <c r="K759">
        <v>6</v>
      </c>
      <c r="L759">
        <v>1</v>
      </c>
      <c r="M759" s="2">
        <f t="shared" si="11"/>
        <v>24057.971999999998</v>
      </c>
      <c r="N759" s="2" t="str">
        <f>IF(Tabla1[[#This Row],[Aprobación_Veterinaria]]=1,"APROBADO","NO APROBADO")</f>
        <v>APROBADO</v>
      </c>
      <c r="O759" t="str">
        <f>IF(Tabla1[[#This Row],[Repite compra?]]=1,"REPITE","NO REPITE")</f>
        <v>REPITE</v>
      </c>
      <c r="P759" t="str">
        <f>IF(Tabla1[[#This Row],[rating_segun encuesta a Consumidor]]&lt;5,"Regular",IF(Tabla1[[#This Row],[rating_segun encuesta a Consumidor]]&gt;8,"Excelente","Bueno"))</f>
        <v>Bueno</v>
      </c>
    </row>
    <row r="760" spans="1:16" x14ac:dyDescent="0.35">
      <c r="A760" s="1">
        <v>44109</v>
      </c>
      <c r="B760">
        <v>4605</v>
      </c>
      <c r="C760" t="s">
        <v>43</v>
      </c>
      <c r="D760">
        <v>76</v>
      </c>
      <c r="E760">
        <v>213.98400000000001</v>
      </c>
      <c r="F760">
        <v>1</v>
      </c>
      <c r="G760" t="s">
        <v>37</v>
      </c>
      <c r="H760" t="s">
        <v>22</v>
      </c>
      <c r="I760" t="s">
        <v>35</v>
      </c>
      <c r="J760" t="s">
        <v>23</v>
      </c>
      <c r="K760">
        <v>10</v>
      </c>
      <c r="L760">
        <v>0</v>
      </c>
      <c r="M760" s="2">
        <f t="shared" si="11"/>
        <v>16262.784000000001</v>
      </c>
      <c r="N760" s="2" t="str">
        <f>IF(Tabla1[[#This Row],[Aprobación_Veterinaria]]=1,"APROBADO","NO APROBADO")</f>
        <v>APROBADO</v>
      </c>
      <c r="O760" t="str">
        <f>IF(Tabla1[[#This Row],[Repite compra?]]=1,"REPITE","NO REPITE")</f>
        <v>NO REPITE</v>
      </c>
      <c r="P760" t="str">
        <f>IF(Tabla1[[#This Row],[rating_segun encuesta a Consumidor]]&lt;5,"Regular",IF(Tabla1[[#This Row],[rating_segun encuesta a Consumidor]]&gt;8,"Excelente","Bueno"))</f>
        <v>Excelente</v>
      </c>
    </row>
    <row r="761" spans="1:16" x14ac:dyDescent="0.35">
      <c r="A761" s="1">
        <v>44072</v>
      </c>
      <c r="B761">
        <v>4832</v>
      </c>
      <c r="C761" t="s">
        <v>20</v>
      </c>
      <c r="D761">
        <v>50</v>
      </c>
      <c r="E761">
        <v>137.41200000000001</v>
      </c>
      <c r="F761">
        <v>1</v>
      </c>
      <c r="G761" t="s">
        <v>40</v>
      </c>
      <c r="H761" t="s">
        <v>38</v>
      </c>
      <c r="I761" t="s">
        <v>18</v>
      </c>
      <c r="J761" t="s">
        <v>29</v>
      </c>
      <c r="K761">
        <v>2</v>
      </c>
      <c r="L761">
        <v>1</v>
      </c>
      <c r="M761" s="2">
        <f t="shared" si="11"/>
        <v>6870.6</v>
      </c>
      <c r="N761" s="2" t="str">
        <f>IF(Tabla1[[#This Row],[Aprobación_Veterinaria]]=1,"APROBADO","NO APROBADO")</f>
        <v>APROBADO</v>
      </c>
      <c r="O761" t="str">
        <f>IF(Tabla1[[#This Row],[Repite compra?]]=1,"REPITE","NO REPITE")</f>
        <v>REPITE</v>
      </c>
      <c r="P761" t="str">
        <f>IF(Tabla1[[#This Row],[rating_segun encuesta a Consumidor]]&lt;5,"Regular",IF(Tabla1[[#This Row],[rating_segun encuesta a Consumidor]]&gt;8,"Excelente","Bueno"))</f>
        <v>Regular</v>
      </c>
    </row>
    <row r="762" spans="1:16" x14ac:dyDescent="0.35">
      <c r="A762" s="1">
        <v>44057</v>
      </c>
      <c r="B762">
        <v>4392</v>
      </c>
      <c r="C762" t="s">
        <v>39</v>
      </c>
      <c r="D762">
        <v>149</v>
      </c>
      <c r="E762">
        <v>86.975999999999999</v>
      </c>
      <c r="F762">
        <v>1</v>
      </c>
      <c r="G762" t="s">
        <v>16</v>
      </c>
      <c r="H762" t="s">
        <v>22</v>
      </c>
      <c r="I762" t="s">
        <v>18</v>
      </c>
      <c r="J762" t="s">
        <v>29</v>
      </c>
      <c r="K762">
        <v>4</v>
      </c>
      <c r="L762">
        <v>1</v>
      </c>
      <c r="M762" s="2">
        <f t="shared" si="11"/>
        <v>12959.423999999999</v>
      </c>
      <c r="N762" s="2" t="str">
        <f>IF(Tabla1[[#This Row],[Aprobación_Veterinaria]]=1,"APROBADO","NO APROBADO")</f>
        <v>APROBADO</v>
      </c>
      <c r="O762" t="str">
        <f>IF(Tabla1[[#This Row],[Repite compra?]]=1,"REPITE","NO REPITE")</f>
        <v>REPITE</v>
      </c>
      <c r="P762" t="str">
        <f>IF(Tabla1[[#This Row],[rating_segun encuesta a Consumidor]]&lt;5,"Regular",IF(Tabla1[[#This Row],[rating_segun encuesta a Consumidor]]&gt;8,"Excelente","Bueno"))</f>
        <v>Regular</v>
      </c>
    </row>
    <row r="763" spans="1:16" x14ac:dyDescent="0.35">
      <c r="A763" s="1">
        <v>43983</v>
      </c>
      <c r="B763">
        <v>4824</v>
      </c>
      <c r="C763" t="s">
        <v>15</v>
      </c>
      <c r="D763">
        <v>135</v>
      </c>
      <c r="E763">
        <v>29.28</v>
      </c>
      <c r="F763">
        <v>1</v>
      </c>
      <c r="G763" t="s">
        <v>21</v>
      </c>
      <c r="H763" t="s">
        <v>54</v>
      </c>
      <c r="I763" t="s">
        <v>18</v>
      </c>
      <c r="J763" t="s">
        <v>29</v>
      </c>
      <c r="K763">
        <v>2</v>
      </c>
      <c r="L763">
        <v>1</v>
      </c>
      <c r="M763" s="2">
        <f t="shared" si="11"/>
        <v>3952.8</v>
      </c>
      <c r="N763" s="2" t="str">
        <f>IF(Tabla1[[#This Row],[Aprobación_Veterinaria]]=1,"APROBADO","NO APROBADO")</f>
        <v>APROBADO</v>
      </c>
      <c r="O763" t="str">
        <f>IF(Tabla1[[#This Row],[Repite compra?]]=1,"REPITE","NO REPITE")</f>
        <v>REPITE</v>
      </c>
      <c r="P763" t="str">
        <f>IF(Tabla1[[#This Row],[rating_segun encuesta a Consumidor]]&lt;5,"Regular",IF(Tabla1[[#This Row],[rating_segun encuesta a Consumidor]]&gt;8,"Excelente","Bueno"))</f>
        <v>Regular</v>
      </c>
    </row>
    <row r="764" spans="1:16" x14ac:dyDescent="0.35">
      <c r="A764" s="1">
        <v>43988</v>
      </c>
      <c r="B764">
        <v>4672</v>
      </c>
      <c r="C764" t="s">
        <v>26</v>
      </c>
      <c r="D764">
        <v>29</v>
      </c>
      <c r="E764">
        <v>143.54400000000001</v>
      </c>
      <c r="F764">
        <v>1</v>
      </c>
      <c r="G764" t="s">
        <v>24</v>
      </c>
      <c r="H764" t="s">
        <v>22</v>
      </c>
      <c r="I764" t="s">
        <v>18</v>
      </c>
      <c r="J764" t="s">
        <v>29</v>
      </c>
      <c r="K764">
        <v>10</v>
      </c>
      <c r="L764">
        <v>0</v>
      </c>
      <c r="M764" s="2">
        <f t="shared" si="11"/>
        <v>4162.7760000000007</v>
      </c>
      <c r="N764" s="2" t="str">
        <f>IF(Tabla1[[#This Row],[Aprobación_Veterinaria]]=1,"APROBADO","NO APROBADO")</f>
        <v>APROBADO</v>
      </c>
      <c r="O764" t="str">
        <f>IF(Tabla1[[#This Row],[Repite compra?]]=1,"REPITE","NO REPITE")</f>
        <v>NO REPITE</v>
      </c>
      <c r="P764" t="str">
        <f>IF(Tabla1[[#This Row],[rating_segun encuesta a Consumidor]]&lt;5,"Regular",IF(Tabla1[[#This Row],[rating_segun encuesta a Consumidor]]&gt;8,"Excelente","Bueno"))</f>
        <v>Excelente</v>
      </c>
    </row>
    <row r="765" spans="1:16" x14ac:dyDescent="0.35">
      <c r="A765" s="1">
        <v>44149</v>
      </c>
      <c r="B765">
        <v>5046</v>
      </c>
      <c r="C765" t="s">
        <v>15</v>
      </c>
      <c r="D765">
        <v>216</v>
      </c>
      <c r="E765">
        <v>188.34</v>
      </c>
      <c r="F765">
        <v>1</v>
      </c>
      <c r="G765" t="s">
        <v>27</v>
      </c>
      <c r="H765" t="s">
        <v>17</v>
      </c>
      <c r="I765" t="s">
        <v>18</v>
      </c>
      <c r="J765" t="s">
        <v>19</v>
      </c>
      <c r="K765">
        <v>7</v>
      </c>
      <c r="L765">
        <v>1</v>
      </c>
      <c r="M765" s="2">
        <f t="shared" si="11"/>
        <v>40681.440000000002</v>
      </c>
      <c r="N765" s="2" t="str">
        <f>IF(Tabla1[[#This Row],[Aprobación_Veterinaria]]=1,"APROBADO","NO APROBADO")</f>
        <v>APROBADO</v>
      </c>
      <c r="O765" t="str">
        <f>IF(Tabla1[[#This Row],[Repite compra?]]=1,"REPITE","NO REPITE")</f>
        <v>REPITE</v>
      </c>
      <c r="P765" t="str">
        <f>IF(Tabla1[[#This Row],[rating_segun encuesta a Consumidor]]&lt;5,"Regular",IF(Tabla1[[#This Row],[rating_segun encuesta a Consumidor]]&gt;8,"Excelente","Bueno"))</f>
        <v>Bueno</v>
      </c>
    </row>
    <row r="766" spans="1:16" x14ac:dyDescent="0.35">
      <c r="A766" s="1">
        <v>44072</v>
      </c>
      <c r="B766">
        <v>4221</v>
      </c>
      <c r="C766" t="s">
        <v>26</v>
      </c>
      <c r="D766">
        <v>110</v>
      </c>
      <c r="E766">
        <v>110.84400000000001</v>
      </c>
      <c r="F766">
        <v>0</v>
      </c>
      <c r="G766" t="s">
        <v>31</v>
      </c>
      <c r="H766" t="s">
        <v>22</v>
      </c>
      <c r="I766" t="s">
        <v>45</v>
      </c>
      <c r="J766" t="s">
        <v>23</v>
      </c>
      <c r="K766">
        <v>1</v>
      </c>
      <c r="L766">
        <v>0</v>
      </c>
      <c r="M766" s="2">
        <f t="shared" si="11"/>
        <v>12192.84</v>
      </c>
      <c r="N766" s="2" t="str">
        <f>IF(Tabla1[[#This Row],[Aprobación_Veterinaria]]=1,"APROBADO","NO APROBADO")</f>
        <v>NO APROBADO</v>
      </c>
      <c r="O766" t="str">
        <f>IF(Tabla1[[#This Row],[Repite compra?]]=1,"REPITE","NO REPITE")</f>
        <v>NO REPITE</v>
      </c>
      <c r="P766" t="str">
        <f>IF(Tabla1[[#This Row],[rating_segun encuesta a Consumidor]]&lt;5,"Regular",IF(Tabla1[[#This Row],[rating_segun encuesta a Consumidor]]&gt;8,"Excelente","Bueno"))</f>
        <v>Regular</v>
      </c>
    </row>
    <row r="767" spans="1:16" x14ac:dyDescent="0.35">
      <c r="A767" s="1">
        <v>44107</v>
      </c>
      <c r="B767">
        <v>4800</v>
      </c>
      <c r="C767" t="s">
        <v>15</v>
      </c>
      <c r="D767">
        <v>112</v>
      </c>
      <c r="E767">
        <v>52.344000000000001</v>
      </c>
      <c r="F767">
        <v>0</v>
      </c>
      <c r="G767" t="s">
        <v>33</v>
      </c>
      <c r="H767" t="s">
        <v>44</v>
      </c>
      <c r="I767" t="s">
        <v>18</v>
      </c>
      <c r="J767" t="s">
        <v>29</v>
      </c>
      <c r="K767">
        <v>7</v>
      </c>
      <c r="L767">
        <v>1</v>
      </c>
      <c r="M767" s="2">
        <f t="shared" si="11"/>
        <v>5862.5280000000002</v>
      </c>
      <c r="N767" s="2" t="str">
        <f>IF(Tabla1[[#This Row],[Aprobación_Veterinaria]]=1,"APROBADO","NO APROBADO")</f>
        <v>NO APROBADO</v>
      </c>
      <c r="O767" t="str">
        <f>IF(Tabla1[[#This Row],[Repite compra?]]=1,"REPITE","NO REPITE")</f>
        <v>REPITE</v>
      </c>
      <c r="P767" t="str">
        <f>IF(Tabla1[[#This Row],[rating_segun encuesta a Consumidor]]&lt;5,"Regular",IF(Tabla1[[#This Row],[rating_segun encuesta a Consumidor]]&gt;8,"Excelente","Bueno"))</f>
        <v>Bueno</v>
      </c>
    </row>
    <row r="768" spans="1:16" x14ac:dyDescent="0.35">
      <c r="A768" s="1">
        <v>43871</v>
      </c>
      <c r="B768">
        <v>5034</v>
      </c>
      <c r="C768" t="s">
        <v>15</v>
      </c>
      <c r="D768">
        <v>161</v>
      </c>
      <c r="E768">
        <v>205.8</v>
      </c>
      <c r="F768">
        <v>1</v>
      </c>
      <c r="G768" t="s">
        <v>34</v>
      </c>
      <c r="H768" t="s">
        <v>17</v>
      </c>
      <c r="I768" t="s">
        <v>18</v>
      </c>
      <c r="J768" t="s">
        <v>19</v>
      </c>
      <c r="K768">
        <v>7</v>
      </c>
      <c r="L768">
        <v>1</v>
      </c>
      <c r="M768" s="2">
        <f t="shared" si="11"/>
        <v>33133.800000000003</v>
      </c>
      <c r="N768" s="2" t="str">
        <f>IF(Tabla1[[#This Row],[Aprobación_Veterinaria]]=1,"APROBADO","NO APROBADO")</f>
        <v>APROBADO</v>
      </c>
      <c r="O768" t="str">
        <f>IF(Tabla1[[#This Row],[Repite compra?]]=1,"REPITE","NO REPITE")</f>
        <v>REPITE</v>
      </c>
      <c r="P768" t="str">
        <f>IF(Tabla1[[#This Row],[rating_segun encuesta a Consumidor]]&lt;5,"Regular",IF(Tabla1[[#This Row],[rating_segun encuesta a Consumidor]]&gt;8,"Excelente","Bueno"))</f>
        <v>Bueno</v>
      </c>
    </row>
    <row r="769" spans="1:16" x14ac:dyDescent="0.35">
      <c r="A769" s="1">
        <v>44058</v>
      </c>
      <c r="B769">
        <v>4840</v>
      </c>
      <c r="C769" t="s">
        <v>26</v>
      </c>
      <c r="D769">
        <v>150</v>
      </c>
      <c r="E769">
        <v>209.64000000000001</v>
      </c>
      <c r="F769">
        <v>0</v>
      </c>
      <c r="G769" t="s">
        <v>36</v>
      </c>
      <c r="H769" t="s">
        <v>44</v>
      </c>
      <c r="I769" t="s">
        <v>18</v>
      </c>
      <c r="J769" t="s">
        <v>29</v>
      </c>
      <c r="K769">
        <v>1</v>
      </c>
      <c r="L769">
        <v>1</v>
      </c>
      <c r="M769" s="2">
        <f t="shared" si="11"/>
        <v>31446.000000000004</v>
      </c>
      <c r="N769" s="2" t="str">
        <f>IF(Tabla1[[#This Row],[Aprobación_Veterinaria]]=1,"APROBADO","NO APROBADO")</f>
        <v>NO APROBADO</v>
      </c>
      <c r="O769" t="str">
        <f>IF(Tabla1[[#This Row],[Repite compra?]]=1,"REPITE","NO REPITE")</f>
        <v>REPITE</v>
      </c>
      <c r="P769" t="str">
        <f>IF(Tabla1[[#This Row],[rating_segun encuesta a Consumidor]]&lt;5,"Regular",IF(Tabla1[[#This Row],[rating_segun encuesta a Consumidor]]&gt;8,"Excelente","Bueno"))</f>
        <v>Regular</v>
      </c>
    </row>
    <row r="770" spans="1:16" x14ac:dyDescent="0.35">
      <c r="A770" s="1">
        <v>44047</v>
      </c>
      <c r="B770">
        <v>4480</v>
      </c>
      <c r="C770" t="s">
        <v>39</v>
      </c>
      <c r="D770">
        <v>48</v>
      </c>
      <c r="E770">
        <v>156.36000000000001</v>
      </c>
      <c r="F770">
        <v>0</v>
      </c>
      <c r="G770" t="s">
        <v>37</v>
      </c>
      <c r="H770" t="s">
        <v>22</v>
      </c>
      <c r="I770" t="s">
        <v>35</v>
      </c>
      <c r="J770" t="s">
        <v>29</v>
      </c>
      <c r="K770">
        <v>5</v>
      </c>
      <c r="L770">
        <v>1</v>
      </c>
      <c r="M770" s="2">
        <f t="shared" ref="M770:M833" si="12">D770*E770</f>
        <v>7505.2800000000007</v>
      </c>
      <c r="N770" s="2" t="str">
        <f>IF(Tabla1[[#This Row],[Aprobación_Veterinaria]]=1,"APROBADO","NO APROBADO")</f>
        <v>NO APROBADO</v>
      </c>
      <c r="O770" t="str">
        <f>IF(Tabla1[[#This Row],[Repite compra?]]=1,"REPITE","NO REPITE")</f>
        <v>REPITE</v>
      </c>
      <c r="P770" t="str">
        <f>IF(Tabla1[[#This Row],[rating_segun encuesta a Consumidor]]&lt;5,"Regular",IF(Tabla1[[#This Row],[rating_segun encuesta a Consumidor]]&gt;8,"Excelente","Bueno"))</f>
        <v>Bueno</v>
      </c>
    </row>
    <row r="771" spans="1:16" x14ac:dyDescent="0.35">
      <c r="A771" s="1">
        <v>44156</v>
      </c>
      <c r="B771">
        <v>4332</v>
      </c>
      <c r="C771" t="s">
        <v>15</v>
      </c>
      <c r="D771">
        <v>203</v>
      </c>
      <c r="E771">
        <v>48.024000000000001</v>
      </c>
      <c r="F771">
        <v>0</v>
      </c>
      <c r="G771" t="s">
        <v>40</v>
      </c>
      <c r="H771" t="s">
        <v>22</v>
      </c>
      <c r="I771" t="s">
        <v>18</v>
      </c>
      <c r="J771" t="s">
        <v>29</v>
      </c>
      <c r="K771">
        <v>9</v>
      </c>
      <c r="L771">
        <v>1</v>
      </c>
      <c r="M771" s="2">
        <f t="shared" si="12"/>
        <v>9748.8719999999994</v>
      </c>
      <c r="N771" s="2" t="str">
        <f>IF(Tabla1[[#This Row],[Aprobación_Veterinaria]]=1,"APROBADO","NO APROBADO")</f>
        <v>NO APROBADO</v>
      </c>
      <c r="O771" t="str">
        <f>IF(Tabla1[[#This Row],[Repite compra?]]=1,"REPITE","NO REPITE")</f>
        <v>REPITE</v>
      </c>
      <c r="P771" t="str">
        <f>IF(Tabla1[[#This Row],[rating_segun encuesta a Consumidor]]&lt;5,"Regular",IF(Tabla1[[#This Row],[rating_segun encuesta a Consumidor]]&gt;8,"Excelente","Bueno"))</f>
        <v>Excelente</v>
      </c>
    </row>
    <row r="772" spans="1:16" x14ac:dyDescent="0.35">
      <c r="A772" s="1">
        <v>44034</v>
      </c>
      <c r="B772">
        <v>4930</v>
      </c>
      <c r="C772" t="s">
        <v>26</v>
      </c>
      <c r="D772">
        <v>37</v>
      </c>
      <c r="E772">
        <v>57.972000000000001</v>
      </c>
      <c r="F772">
        <v>0</v>
      </c>
      <c r="G772" t="s">
        <v>16</v>
      </c>
      <c r="H772" t="s">
        <v>44</v>
      </c>
      <c r="I772" t="s">
        <v>18</v>
      </c>
      <c r="J772" t="s">
        <v>29</v>
      </c>
      <c r="K772">
        <v>6</v>
      </c>
      <c r="L772">
        <v>0</v>
      </c>
      <c r="M772" s="2">
        <f t="shared" si="12"/>
        <v>2144.9639999999999</v>
      </c>
      <c r="N772" s="2" t="str">
        <f>IF(Tabla1[[#This Row],[Aprobación_Veterinaria]]=1,"APROBADO","NO APROBADO")</f>
        <v>NO APROBADO</v>
      </c>
      <c r="O772" t="str">
        <f>IF(Tabla1[[#This Row],[Repite compra?]]=1,"REPITE","NO REPITE")</f>
        <v>NO REPITE</v>
      </c>
      <c r="P772" t="str">
        <f>IF(Tabla1[[#This Row],[rating_segun encuesta a Consumidor]]&lt;5,"Regular",IF(Tabla1[[#This Row],[rating_segun encuesta a Consumidor]]&gt;8,"Excelente","Bueno"))</f>
        <v>Bueno</v>
      </c>
    </row>
    <row r="773" spans="1:16" x14ac:dyDescent="0.35">
      <c r="A773" s="1">
        <v>44194</v>
      </c>
      <c r="B773">
        <v>4985</v>
      </c>
      <c r="C773" t="s">
        <v>20</v>
      </c>
      <c r="D773">
        <v>84</v>
      </c>
      <c r="E773">
        <v>81.12</v>
      </c>
      <c r="F773">
        <v>1</v>
      </c>
      <c r="G773" t="s">
        <v>21</v>
      </c>
      <c r="H773" t="s">
        <v>44</v>
      </c>
      <c r="I773" t="s">
        <v>41</v>
      </c>
      <c r="J773" t="s">
        <v>49</v>
      </c>
      <c r="K773">
        <v>6</v>
      </c>
      <c r="L773">
        <v>0</v>
      </c>
      <c r="M773" s="2">
        <f t="shared" si="12"/>
        <v>6814.08</v>
      </c>
      <c r="N773" s="2" t="str">
        <f>IF(Tabla1[[#This Row],[Aprobación_Veterinaria]]=1,"APROBADO","NO APROBADO")</f>
        <v>APROBADO</v>
      </c>
      <c r="O773" t="str">
        <f>IF(Tabla1[[#This Row],[Repite compra?]]=1,"REPITE","NO REPITE")</f>
        <v>NO REPITE</v>
      </c>
      <c r="P773" t="str">
        <f>IF(Tabla1[[#This Row],[rating_segun encuesta a Consumidor]]&lt;5,"Regular",IF(Tabla1[[#This Row],[rating_segun encuesta a Consumidor]]&gt;8,"Excelente","Bueno"))</f>
        <v>Bueno</v>
      </c>
    </row>
    <row r="774" spans="1:16" x14ac:dyDescent="0.35">
      <c r="A774" s="1">
        <v>43848</v>
      </c>
      <c r="B774">
        <v>4804</v>
      </c>
      <c r="C774" t="s">
        <v>26</v>
      </c>
      <c r="D774">
        <v>203</v>
      </c>
      <c r="E774">
        <v>178.83600000000001</v>
      </c>
      <c r="F774">
        <v>1</v>
      </c>
      <c r="G774" t="s">
        <v>24</v>
      </c>
      <c r="H774" t="s">
        <v>54</v>
      </c>
      <c r="I774" t="s">
        <v>18</v>
      </c>
      <c r="J774" t="s">
        <v>29</v>
      </c>
      <c r="K774">
        <v>7</v>
      </c>
      <c r="L774">
        <v>1</v>
      </c>
      <c r="M774" s="2">
        <f t="shared" si="12"/>
        <v>36303.708000000006</v>
      </c>
      <c r="N774" s="2" t="str">
        <f>IF(Tabla1[[#This Row],[Aprobación_Veterinaria]]=1,"APROBADO","NO APROBADO")</f>
        <v>APROBADO</v>
      </c>
      <c r="O774" t="str">
        <f>IF(Tabla1[[#This Row],[Repite compra?]]=1,"REPITE","NO REPITE")</f>
        <v>REPITE</v>
      </c>
      <c r="P774" t="str">
        <f>IF(Tabla1[[#This Row],[rating_segun encuesta a Consumidor]]&lt;5,"Regular",IF(Tabla1[[#This Row],[rating_segun encuesta a Consumidor]]&gt;8,"Excelente","Bueno"))</f>
        <v>Bueno</v>
      </c>
    </row>
    <row r="775" spans="1:16" x14ac:dyDescent="0.35">
      <c r="A775" s="1">
        <v>43954</v>
      </c>
      <c r="B775">
        <v>5022</v>
      </c>
      <c r="C775" t="s">
        <v>15</v>
      </c>
      <c r="D775">
        <v>212</v>
      </c>
      <c r="E775">
        <v>229.464</v>
      </c>
      <c r="F775">
        <v>0</v>
      </c>
      <c r="G775" t="s">
        <v>27</v>
      </c>
      <c r="H775" t="s">
        <v>38</v>
      </c>
      <c r="I775" t="s">
        <v>18</v>
      </c>
      <c r="J775" t="s">
        <v>19</v>
      </c>
      <c r="K775">
        <v>6</v>
      </c>
      <c r="L775">
        <v>1</v>
      </c>
      <c r="M775" s="2">
        <f t="shared" si="12"/>
        <v>48646.368000000002</v>
      </c>
      <c r="N775" s="2" t="str">
        <f>IF(Tabla1[[#This Row],[Aprobación_Veterinaria]]=1,"APROBADO","NO APROBADO")</f>
        <v>NO APROBADO</v>
      </c>
      <c r="O775" t="str">
        <f>IF(Tabla1[[#This Row],[Repite compra?]]=1,"REPITE","NO REPITE")</f>
        <v>REPITE</v>
      </c>
      <c r="P775" t="str">
        <f>IF(Tabla1[[#This Row],[rating_segun encuesta a Consumidor]]&lt;5,"Regular",IF(Tabla1[[#This Row],[rating_segun encuesta a Consumidor]]&gt;8,"Excelente","Bueno"))</f>
        <v>Bueno</v>
      </c>
    </row>
    <row r="776" spans="1:16" x14ac:dyDescent="0.35">
      <c r="A776" s="1">
        <v>43980</v>
      </c>
      <c r="B776">
        <v>4667</v>
      </c>
      <c r="C776" t="s">
        <v>39</v>
      </c>
      <c r="D776">
        <v>172</v>
      </c>
      <c r="E776">
        <v>200.02799999999999</v>
      </c>
      <c r="F776">
        <v>1</v>
      </c>
      <c r="G776" t="s">
        <v>31</v>
      </c>
      <c r="H776" t="s">
        <v>22</v>
      </c>
      <c r="I776" t="s">
        <v>18</v>
      </c>
      <c r="J776" t="s">
        <v>23</v>
      </c>
      <c r="K776">
        <v>10</v>
      </c>
      <c r="L776">
        <v>0</v>
      </c>
      <c r="M776" s="2">
        <f t="shared" si="12"/>
        <v>34404.815999999999</v>
      </c>
      <c r="N776" s="2" t="str">
        <f>IF(Tabla1[[#This Row],[Aprobación_Veterinaria]]=1,"APROBADO","NO APROBADO")</f>
        <v>APROBADO</v>
      </c>
      <c r="O776" t="str">
        <f>IF(Tabla1[[#This Row],[Repite compra?]]=1,"REPITE","NO REPITE")</f>
        <v>NO REPITE</v>
      </c>
      <c r="P776" t="str">
        <f>IF(Tabla1[[#This Row],[rating_segun encuesta a Consumidor]]&lt;5,"Regular",IF(Tabla1[[#This Row],[rating_segun encuesta a Consumidor]]&gt;8,"Excelente","Bueno"))</f>
        <v>Excelente</v>
      </c>
    </row>
    <row r="777" spans="1:16" x14ac:dyDescent="0.35">
      <c r="A777" s="1">
        <v>43911</v>
      </c>
      <c r="B777">
        <v>4436</v>
      </c>
      <c r="C777" t="s">
        <v>39</v>
      </c>
      <c r="D777">
        <v>71</v>
      </c>
      <c r="E777">
        <v>71.352000000000004</v>
      </c>
      <c r="F777">
        <v>1</v>
      </c>
      <c r="G777" t="s">
        <v>33</v>
      </c>
      <c r="H777" t="s">
        <v>22</v>
      </c>
      <c r="I777" t="s">
        <v>45</v>
      </c>
      <c r="J777" t="s">
        <v>29</v>
      </c>
      <c r="K777">
        <v>6</v>
      </c>
      <c r="L777">
        <v>1</v>
      </c>
      <c r="M777" s="2">
        <f t="shared" si="12"/>
        <v>5065.9920000000002</v>
      </c>
      <c r="N777" s="2" t="str">
        <f>IF(Tabla1[[#This Row],[Aprobación_Veterinaria]]=1,"APROBADO","NO APROBADO")</f>
        <v>APROBADO</v>
      </c>
      <c r="O777" t="str">
        <f>IF(Tabla1[[#This Row],[Repite compra?]]=1,"REPITE","NO REPITE")</f>
        <v>REPITE</v>
      </c>
      <c r="P777" t="str">
        <f>IF(Tabla1[[#This Row],[rating_segun encuesta a Consumidor]]&lt;5,"Regular",IF(Tabla1[[#This Row],[rating_segun encuesta a Consumidor]]&gt;8,"Excelente","Bueno"))</f>
        <v>Bueno</v>
      </c>
    </row>
    <row r="778" spans="1:16" x14ac:dyDescent="0.35">
      <c r="A778" s="1">
        <v>43996</v>
      </c>
      <c r="B778">
        <v>4982</v>
      </c>
      <c r="C778" t="s">
        <v>20</v>
      </c>
      <c r="D778">
        <v>207</v>
      </c>
      <c r="E778">
        <v>111.096</v>
      </c>
      <c r="F778">
        <v>0</v>
      </c>
      <c r="G778" t="s">
        <v>34</v>
      </c>
      <c r="H778" t="s">
        <v>38</v>
      </c>
      <c r="I778" t="s">
        <v>18</v>
      </c>
      <c r="J778" t="s">
        <v>19</v>
      </c>
      <c r="K778">
        <v>6</v>
      </c>
      <c r="L778">
        <v>0</v>
      </c>
      <c r="M778" s="2">
        <f t="shared" si="12"/>
        <v>22996.871999999999</v>
      </c>
      <c r="N778" s="2" t="str">
        <f>IF(Tabla1[[#This Row],[Aprobación_Veterinaria]]=1,"APROBADO","NO APROBADO")</f>
        <v>NO APROBADO</v>
      </c>
      <c r="O778" t="str">
        <f>IF(Tabla1[[#This Row],[Repite compra?]]=1,"REPITE","NO REPITE")</f>
        <v>NO REPITE</v>
      </c>
      <c r="P778" t="str">
        <f>IF(Tabla1[[#This Row],[rating_segun encuesta a Consumidor]]&lt;5,"Regular",IF(Tabla1[[#This Row],[rating_segun encuesta a Consumidor]]&gt;8,"Excelente","Bueno"))</f>
        <v>Bueno</v>
      </c>
    </row>
    <row r="779" spans="1:16" x14ac:dyDescent="0.35">
      <c r="A779" s="1">
        <v>44177</v>
      </c>
      <c r="B779">
        <v>4560</v>
      </c>
      <c r="C779" t="s">
        <v>47</v>
      </c>
      <c r="D779">
        <v>29</v>
      </c>
      <c r="E779">
        <v>226.29599999999999</v>
      </c>
      <c r="F779">
        <v>1</v>
      </c>
      <c r="G779" t="s">
        <v>36</v>
      </c>
      <c r="H779" t="s">
        <v>22</v>
      </c>
      <c r="I779" t="s">
        <v>35</v>
      </c>
      <c r="J779" t="s">
        <v>29</v>
      </c>
      <c r="K779">
        <v>10</v>
      </c>
      <c r="L779">
        <v>1</v>
      </c>
      <c r="M779" s="2">
        <f t="shared" si="12"/>
        <v>6562.5839999999998</v>
      </c>
      <c r="N779" s="2" t="str">
        <f>IF(Tabla1[[#This Row],[Aprobación_Veterinaria]]=1,"APROBADO","NO APROBADO")</f>
        <v>APROBADO</v>
      </c>
      <c r="O779" t="str">
        <f>IF(Tabla1[[#This Row],[Repite compra?]]=1,"REPITE","NO REPITE")</f>
        <v>REPITE</v>
      </c>
      <c r="P779" t="str">
        <f>IF(Tabla1[[#This Row],[rating_segun encuesta a Consumidor]]&lt;5,"Regular",IF(Tabla1[[#This Row],[rating_segun encuesta a Consumidor]]&gt;8,"Excelente","Bueno"))</f>
        <v>Excelente</v>
      </c>
    </row>
    <row r="780" spans="1:16" x14ac:dyDescent="0.35">
      <c r="A780" s="1">
        <v>43903</v>
      </c>
      <c r="B780">
        <v>4262</v>
      </c>
      <c r="C780" t="s">
        <v>51</v>
      </c>
      <c r="D780">
        <v>90</v>
      </c>
      <c r="E780">
        <v>228.828</v>
      </c>
      <c r="F780">
        <v>1</v>
      </c>
      <c r="G780" t="s">
        <v>37</v>
      </c>
      <c r="H780" t="s">
        <v>22</v>
      </c>
      <c r="I780" t="s">
        <v>18</v>
      </c>
      <c r="J780" t="s">
        <v>29</v>
      </c>
      <c r="K780">
        <v>6</v>
      </c>
      <c r="L780">
        <v>1</v>
      </c>
      <c r="M780" s="2">
        <f t="shared" si="12"/>
        <v>20594.52</v>
      </c>
      <c r="N780" s="2" t="str">
        <f>IF(Tabla1[[#This Row],[Aprobación_Veterinaria]]=1,"APROBADO","NO APROBADO")</f>
        <v>APROBADO</v>
      </c>
      <c r="O780" t="str">
        <f>IF(Tabla1[[#This Row],[Repite compra?]]=1,"REPITE","NO REPITE")</f>
        <v>REPITE</v>
      </c>
      <c r="P780" t="str">
        <f>IF(Tabla1[[#This Row],[rating_segun encuesta a Consumidor]]&lt;5,"Regular",IF(Tabla1[[#This Row],[rating_segun encuesta a Consumidor]]&gt;8,"Excelente","Bueno"))</f>
        <v>Bueno</v>
      </c>
    </row>
    <row r="781" spans="1:16" x14ac:dyDescent="0.35">
      <c r="A781" s="1">
        <v>44082</v>
      </c>
      <c r="B781">
        <v>4383</v>
      </c>
      <c r="C781" t="s">
        <v>51</v>
      </c>
      <c r="D781">
        <v>189</v>
      </c>
      <c r="E781">
        <v>185.28</v>
      </c>
      <c r="F781">
        <v>0</v>
      </c>
      <c r="G781" t="s">
        <v>40</v>
      </c>
      <c r="H781" t="s">
        <v>22</v>
      </c>
      <c r="I781" t="s">
        <v>41</v>
      </c>
      <c r="J781" t="s">
        <v>23</v>
      </c>
      <c r="K781">
        <v>1</v>
      </c>
      <c r="L781">
        <v>0</v>
      </c>
      <c r="M781" s="2">
        <f t="shared" si="12"/>
        <v>35017.919999999998</v>
      </c>
      <c r="N781" s="2" t="str">
        <f>IF(Tabla1[[#This Row],[Aprobación_Veterinaria]]=1,"APROBADO","NO APROBADO")</f>
        <v>NO APROBADO</v>
      </c>
      <c r="O781" t="str">
        <f>IF(Tabla1[[#This Row],[Repite compra?]]=1,"REPITE","NO REPITE")</f>
        <v>NO REPITE</v>
      </c>
      <c r="P781" t="str">
        <f>IF(Tabla1[[#This Row],[rating_segun encuesta a Consumidor]]&lt;5,"Regular",IF(Tabla1[[#This Row],[rating_segun encuesta a Consumidor]]&gt;8,"Excelente","Bueno"))</f>
        <v>Regular</v>
      </c>
    </row>
    <row r="782" spans="1:16" x14ac:dyDescent="0.35">
      <c r="A782" s="1">
        <v>44150</v>
      </c>
      <c r="B782">
        <v>4591</v>
      </c>
      <c r="C782" t="s">
        <v>30</v>
      </c>
      <c r="D782">
        <v>167</v>
      </c>
      <c r="E782">
        <v>49.451999999999998</v>
      </c>
      <c r="F782">
        <v>1</v>
      </c>
      <c r="G782" t="s">
        <v>16</v>
      </c>
      <c r="H782" t="s">
        <v>22</v>
      </c>
      <c r="I782" t="s">
        <v>45</v>
      </c>
      <c r="J782" t="s">
        <v>23</v>
      </c>
      <c r="K782">
        <v>10</v>
      </c>
      <c r="L782">
        <v>1</v>
      </c>
      <c r="M782" s="2">
        <f t="shared" si="12"/>
        <v>8258.4840000000004</v>
      </c>
      <c r="N782" s="2" t="str">
        <f>IF(Tabla1[[#This Row],[Aprobación_Veterinaria]]=1,"APROBADO","NO APROBADO")</f>
        <v>APROBADO</v>
      </c>
      <c r="O782" t="str">
        <f>IF(Tabla1[[#This Row],[Repite compra?]]=1,"REPITE","NO REPITE")</f>
        <v>REPITE</v>
      </c>
      <c r="P782" t="str">
        <f>IF(Tabla1[[#This Row],[rating_segun encuesta a Consumidor]]&lt;5,"Regular",IF(Tabla1[[#This Row],[rating_segun encuesta a Consumidor]]&gt;8,"Excelente","Bueno"))</f>
        <v>Excelente</v>
      </c>
    </row>
    <row r="783" spans="1:16" x14ac:dyDescent="0.35">
      <c r="A783" s="1">
        <v>44163</v>
      </c>
      <c r="B783">
        <v>4847</v>
      </c>
      <c r="C783" t="s">
        <v>20</v>
      </c>
      <c r="D783">
        <v>116</v>
      </c>
      <c r="E783">
        <v>100.764</v>
      </c>
      <c r="F783">
        <v>0</v>
      </c>
      <c r="G783" t="s">
        <v>21</v>
      </c>
      <c r="H783" t="s">
        <v>38</v>
      </c>
      <c r="I783" t="s">
        <v>41</v>
      </c>
      <c r="J783" t="s">
        <v>23</v>
      </c>
      <c r="K783">
        <v>1</v>
      </c>
      <c r="L783">
        <v>1</v>
      </c>
      <c r="M783" s="2">
        <f t="shared" si="12"/>
        <v>11688.624</v>
      </c>
      <c r="N783" s="2" t="str">
        <f>IF(Tabla1[[#This Row],[Aprobación_Veterinaria]]=1,"APROBADO","NO APROBADO")</f>
        <v>NO APROBADO</v>
      </c>
      <c r="O783" t="str">
        <f>IF(Tabla1[[#This Row],[Repite compra?]]=1,"REPITE","NO REPITE")</f>
        <v>REPITE</v>
      </c>
      <c r="P783" t="str">
        <f>IF(Tabla1[[#This Row],[rating_segun encuesta a Consumidor]]&lt;5,"Regular",IF(Tabla1[[#This Row],[rating_segun encuesta a Consumidor]]&gt;8,"Excelente","Bueno"))</f>
        <v>Regular</v>
      </c>
    </row>
    <row r="784" spans="1:16" x14ac:dyDescent="0.35">
      <c r="A784" s="1">
        <v>44088</v>
      </c>
      <c r="B784">
        <v>4690</v>
      </c>
      <c r="C784" t="s">
        <v>39</v>
      </c>
      <c r="D784">
        <v>36</v>
      </c>
      <c r="E784">
        <v>119.12400000000001</v>
      </c>
      <c r="F784">
        <v>1</v>
      </c>
      <c r="G784" t="s">
        <v>24</v>
      </c>
      <c r="H784" t="s">
        <v>44</v>
      </c>
      <c r="I784" t="s">
        <v>35</v>
      </c>
      <c r="J784" t="s">
        <v>29</v>
      </c>
      <c r="K784">
        <v>10</v>
      </c>
      <c r="L784">
        <v>0</v>
      </c>
      <c r="M784" s="2">
        <f t="shared" si="12"/>
        <v>4288.4639999999999</v>
      </c>
      <c r="N784" s="2" t="str">
        <f>IF(Tabla1[[#This Row],[Aprobación_Veterinaria]]=1,"APROBADO","NO APROBADO")</f>
        <v>APROBADO</v>
      </c>
      <c r="O784" t="str">
        <f>IF(Tabla1[[#This Row],[Repite compra?]]=1,"REPITE","NO REPITE")</f>
        <v>NO REPITE</v>
      </c>
      <c r="P784" t="str">
        <f>IF(Tabla1[[#This Row],[rating_segun encuesta a Consumidor]]&lt;5,"Regular",IF(Tabla1[[#This Row],[rating_segun encuesta a Consumidor]]&gt;8,"Excelente","Bueno"))</f>
        <v>Excelente</v>
      </c>
    </row>
    <row r="785" spans="1:16" x14ac:dyDescent="0.35">
      <c r="A785" s="1">
        <v>43940</v>
      </c>
      <c r="B785">
        <v>4320</v>
      </c>
      <c r="C785" t="s">
        <v>26</v>
      </c>
      <c r="D785">
        <v>5</v>
      </c>
      <c r="E785">
        <v>87.24</v>
      </c>
      <c r="F785">
        <v>1</v>
      </c>
      <c r="G785" t="s">
        <v>27</v>
      </c>
      <c r="H785" t="s">
        <v>22</v>
      </c>
      <c r="I785" t="s">
        <v>35</v>
      </c>
      <c r="J785" t="s">
        <v>29</v>
      </c>
      <c r="K785">
        <v>8</v>
      </c>
      <c r="L785">
        <v>0</v>
      </c>
      <c r="M785" s="2">
        <f t="shared" si="12"/>
        <v>436.2</v>
      </c>
      <c r="N785" s="2" t="str">
        <f>IF(Tabla1[[#This Row],[Aprobación_Veterinaria]]=1,"APROBADO","NO APROBADO")</f>
        <v>APROBADO</v>
      </c>
      <c r="O785" t="str">
        <f>IF(Tabla1[[#This Row],[Repite compra?]]=1,"REPITE","NO REPITE")</f>
        <v>NO REPITE</v>
      </c>
      <c r="P785" t="str">
        <f>IF(Tabla1[[#This Row],[rating_segun encuesta a Consumidor]]&lt;5,"Regular",IF(Tabla1[[#This Row],[rating_segun encuesta a Consumidor]]&gt;8,"Excelente","Bueno"))</f>
        <v>Bueno</v>
      </c>
    </row>
    <row r="786" spans="1:16" x14ac:dyDescent="0.35">
      <c r="A786" s="1">
        <v>43942</v>
      </c>
      <c r="B786">
        <v>4781</v>
      </c>
      <c r="C786" t="s">
        <v>20</v>
      </c>
      <c r="D786">
        <v>172</v>
      </c>
      <c r="E786">
        <v>100.404</v>
      </c>
      <c r="F786">
        <v>1</v>
      </c>
      <c r="G786" t="s">
        <v>31</v>
      </c>
      <c r="H786" t="s">
        <v>48</v>
      </c>
      <c r="I786" t="s">
        <v>41</v>
      </c>
      <c r="J786" t="s">
        <v>23</v>
      </c>
      <c r="K786">
        <v>7</v>
      </c>
      <c r="L786">
        <v>0</v>
      </c>
      <c r="M786" s="2">
        <f t="shared" si="12"/>
        <v>17269.487999999998</v>
      </c>
      <c r="N786" s="2" t="str">
        <f>IF(Tabla1[[#This Row],[Aprobación_Veterinaria]]=1,"APROBADO","NO APROBADO")</f>
        <v>APROBADO</v>
      </c>
      <c r="O786" t="str">
        <f>IF(Tabla1[[#This Row],[Repite compra?]]=1,"REPITE","NO REPITE")</f>
        <v>NO REPITE</v>
      </c>
      <c r="P786" t="str">
        <f>IF(Tabla1[[#This Row],[rating_segun encuesta a Consumidor]]&lt;5,"Regular",IF(Tabla1[[#This Row],[rating_segun encuesta a Consumidor]]&gt;8,"Excelente","Bueno"))</f>
        <v>Bueno</v>
      </c>
    </row>
    <row r="787" spans="1:16" x14ac:dyDescent="0.35">
      <c r="A787" s="1">
        <v>43932</v>
      </c>
      <c r="B787">
        <v>4878</v>
      </c>
      <c r="C787" t="s">
        <v>15</v>
      </c>
      <c r="D787">
        <v>9</v>
      </c>
      <c r="E787">
        <v>37.116</v>
      </c>
      <c r="F787">
        <v>0</v>
      </c>
      <c r="G787" t="s">
        <v>33</v>
      </c>
      <c r="H787" t="s">
        <v>50</v>
      </c>
      <c r="I787" t="s">
        <v>18</v>
      </c>
      <c r="J787" t="s">
        <v>29</v>
      </c>
      <c r="K787">
        <v>6</v>
      </c>
      <c r="L787">
        <v>0</v>
      </c>
      <c r="M787" s="2">
        <f t="shared" si="12"/>
        <v>334.04399999999998</v>
      </c>
      <c r="N787" s="2" t="str">
        <f>IF(Tabla1[[#This Row],[Aprobación_Veterinaria]]=1,"APROBADO","NO APROBADO")</f>
        <v>NO APROBADO</v>
      </c>
      <c r="O787" t="str">
        <f>IF(Tabla1[[#This Row],[Repite compra?]]=1,"REPITE","NO REPITE")</f>
        <v>NO REPITE</v>
      </c>
      <c r="P787" t="str">
        <f>IF(Tabla1[[#This Row],[rating_segun encuesta a Consumidor]]&lt;5,"Regular",IF(Tabla1[[#This Row],[rating_segun encuesta a Consumidor]]&gt;8,"Excelente","Bueno"))</f>
        <v>Bueno</v>
      </c>
    </row>
    <row r="788" spans="1:16" x14ac:dyDescent="0.35">
      <c r="A788" s="1">
        <v>44122</v>
      </c>
      <c r="B788">
        <v>4304</v>
      </c>
      <c r="C788" t="s">
        <v>39</v>
      </c>
      <c r="D788">
        <v>177</v>
      </c>
      <c r="E788">
        <v>44.4</v>
      </c>
      <c r="F788">
        <v>0</v>
      </c>
      <c r="G788" t="s">
        <v>34</v>
      </c>
      <c r="H788" t="s">
        <v>22</v>
      </c>
      <c r="I788" t="s">
        <v>28</v>
      </c>
      <c r="J788" t="s">
        <v>29</v>
      </c>
      <c r="K788">
        <v>2</v>
      </c>
      <c r="L788">
        <v>1</v>
      </c>
      <c r="M788" s="2">
        <f t="shared" si="12"/>
        <v>7858.8</v>
      </c>
      <c r="N788" s="2" t="str">
        <f>IF(Tabla1[[#This Row],[Aprobación_Veterinaria]]=1,"APROBADO","NO APROBADO")</f>
        <v>NO APROBADO</v>
      </c>
      <c r="O788" t="str">
        <f>IF(Tabla1[[#This Row],[Repite compra?]]=1,"REPITE","NO REPITE")</f>
        <v>REPITE</v>
      </c>
      <c r="P788" t="str">
        <f>IF(Tabla1[[#This Row],[rating_segun encuesta a Consumidor]]&lt;5,"Regular",IF(Tabla1[[#This Row],[rating_segun encuesta a Consumidor]]&gt;8,"Excelente","Bueno"))</f>
        <v>Regular</v>
      </c>
    </row>
    <row r="789" spans="1:16" x14ac:dyDescent="0.35">
      <c r="A789" s="1">
        <v>44095</v>
      </c>
      <c r="B789">
        <v>4706</v>
      </c>
      <c r="C789" t="s">
        <v>30</v>
      </c>
      <c r="D789">
        <v>17</v>
      </c>
      <c r="E789">
        <v>13.332000000000001</v>
      </c>
      <c r="F789">
        <v>1</v>
      </c>
      <c r="G789" t="s">
        <v>36</v>
      </c>
      <c r="H789" t="s">
        <v>48</v>
      </c>
      <c r="I789" t="s">
        <v>18</v>
      </c>
      <c r="J789" t="s">
        <v>29</v>
      </c>
      <c r="K789">
        <v>10</v>
      </c>
      <c r="L789">
        <v>0</v>
      </c>
      <c r="M789" s="2">
        <f t="shared" si="12"/>
        <v>226.64400000000001</v>
      </c>
      <c r="N789" s="2" t="str">
        <f>IF(Tabla1[[#This Row],[Aprobación_Veterinaria]]=1,"APROBADO","NO APROBADO")</f>
        <v>APROBADO</v>
      </c>
      <c r="O789" t="str">
        <f>IF(Tabla1[[#This Row],[Repite compra?]]=1,"REPITE","NO REPITE")</f>
        <v>NO REPITE</v>
      </c>
      <c r="P789" t="str">
        <f>IF(Tabla1[[#This Row],[rating_segun encuesta a Consumidor]]&lt;5,"Regular",IF(Tabla1[[#This Row],[rating_segun encuesta a Consumidor]]&gt;8,"Excelente","Bueno"))</f>
        <v>Excelente</v>
      </c>
    </row>
    <row r="790" spans="1:16" x14ac:dyDescent="0.35">
      <c r="A790" s="1">
        <v>44072</v>
      </c>
      <c r="B790">
        <v>4764</v>
      </c>
      <c r="C790" t="s">
        <v>43</v>
      </c>
      <c r="D790">
        <v>135</v>
      </c>
      <c r="E790">
        <v>145.524</v>
      </c>
      <c r="F790">
        <v>0</v>
      </c>
      <c r="G790" t="s">
        <v>37</v>
      </c>
      <c r="H790" t="s">
        <v>54</v>
      </c>
      <c r="I790" t="s">
        <v>18</v>
      </c>
      <c r="J790" t="s">
        <v>29</v>
      </c>
      <c r="K790">
        <v>7</v>
      </c>
      <c r="L790">
        <v>1</v>
      </c>
      <c r="M790" s="2">
        <f t="shared" si="12"/>
        <v>19645.740000000002</v>
      </c>
      <c r="N790" s="2" t="str">
        <f>IF(Tabla1[[#This Row],[Aprobación_Veterinaria]]=1,"APROBADO","NO APROBADO")</f>
        <v>NO APROBADO</v>
      </c>
      <c r="O790" t="str">
        <f>IF(Tabla1[[#This Row],[Repite compra?]]=1,"REPITE","NO REPITE")</f>
        <v>REPITE</v>
      </c>
      <c r="P790" t="str">
        <f>IF(Tabla1[[#This Row],[rating_segun encuesta a Consumidor]]&lt;5,"Regular",IF(Tabla1[[#This Row],[rating_segun encuesta a Consumidor]]&gt;8,"Excelente","Bueno"))</f>
        <v>Bueno</v>
      </c>
    </row>
    <row r="791" spans="1:16" x14ac:dyDescent="0.35">
      <c r="A791" s="1">
        <v>43962</v>
      </c>
      <c r="B791">
        <v>4862</v>
      </c>
      <c r="C791" t="s">
        <v>20</v>
      </c>
      <c r="D791">
        <v>134</v>
      </c>
      <c r="E791">
        <v>230.49600000000001</v>
      </c>
      <c r="F791">
        <v>1</v>
      </c>
      <c r="G791" t="s">
        <v>40</v>
      </c>
      <c r="H791" t="s">
        <v>38</v>
      </c>
      <c r="I791" t="s">
        <v>18</v>
      </c>
      <c r="J791" t="s">
        <v>29</v>
      </c>
      <c r="K791">
        <v>1</v>
      </c>
      <c r="L791">
        <v>1</v>
      </c>
      <c r="M791" s="2">
        <f t="shared" si="12"/>
        <v>30886.464</v>
      </c>
      <c r="N791" s="2" t="str">
        <f>IF(Tabla1[[#This Row],[Aprobación_Veterinaria]]=1,"APROBADO","NO APROBADO")</f>
        <v>APROBADO</v>
      </c>
      <c r="O791" t="str">
        <f>IF(Tabla1[[#This Row],[Repite compra?]]=1,"REPITE","NO REPITE")</f>
        <v>REPITE</v>
      </c>
      <c r="P791" t="str">
        <f>IF(Tabla1[[#This Row],[rating_segun encuesta a Consumidor]]&lt;5,"Regular",IF(Tabla1[[#This Row],[rating_segun encuesta a Consumidor]]&gt;8,"Excelente","Bueno"))</f>
        <v>Regular</v>
      </c>
    </row>
    <row r="792" spans="1:16" x14ac:dyDescent="0.35">
      <c r="A792" s="1">
        <v>43888</v>
      </c>
      <c r="B792">
        <v>4378</v>
      </c>
      <c r="C792" t="s">
        <v>32</v>
      </c>
      <c r="D792">
        <v>54</v>
      </c>
      <c r="E792">
        <v>140.49600000000001</v>
      </c>
      <c r="F792">
        <v>0</v>
      </c>
      <c r="G792" t="s">
        <v>16</v>
      </c>
      <c r="H792" t="s">
        <v>22</v>
      </c>
      <c r="I792" t="s">
        <v>41</v>
      </c>
      <c r="J792" t="s">
        <v>29</v>
      </c>
      <c r="K792">
        <v>10</v>
      </c>
      <c r="L792">
        <v>1</v>
      </c>
      <c r="M792" s="2">
        <f t="shared" si="12"/>
        <v>7586.7840000000006</v>
      </c>
      <c r="N792" s="2" t="str">
        <f>IF(Tabla1[[#This Row],[Aprobación_Veterinaria]]=1,"APROBADO","NO APROBADO")</f>
        <v>NO APROBADO</v>
      </c>
      <c r="O792" t="str">
        <f>IF(Tabla1[[#This Row],[Repite compra?]]=1,"REPITE","NO REPITE")</f>
        <v>REPITE</v>
      </c>
      <c r="P792" t="str">
        <f>IF(Tabla1[[#This Row],[rating_segun encuesta a Consumidor]]&lt;5,"Regular",IF(Tabla1[[#This Row],[rating_segun encuesta a Consumidor]]&gt;8,"Excelente","Bueno"))</f>
        <v>Excelente</v>
      </c>
    </row>
    <row r="793" spans="1:16" x14ac:dyDescent="0.35">
      <c r="A793" s="1">
        <v>44145</v>
      </c>
      <c r="B793">
        <v>4631</v>
      </c>
      <c r="C793" t="s">
        <v>32</v>
      </c>
      <c r="D793">
        <v>54</v>
      </c>
      <c r="E793">
        <v>178.09200000000001</v>
      </c>
      <c r="F793">
        <v>1</v>
      </c>
      <c r="G793" t="s">
        <v>21</v>
      </c>
      <c r="H793" t="s">
        <v>22</v>
      </c>
      <c r="I793" t="s">
        <v>45</v>
      </c>
      <c r="J793" t="s">
        <v>23</v>
      </c>
      <c r="K793">
        <v>10</v>
      </c>
      <c r="L793">
        <v>1</v>
      </c>
      <c r="M793" s="2">
        <f t="shared" si="12"/>
        <v>9616.9680000000008</v>
      </c>
      <c r="N793" s="2" t="str">
        <f>IF(Tabla1[[#This Row],[Aprobación_Veterinaria]]=1,"APROBADO","NO APROBADO")</f>
        <v>APROBADO</v>
      </c>
      <c r="O793" t="str">
        <f>IF(Tabla1[[#This Row],[Repite compra?]]=1,"REPITE","NO REPITE")</f>
        <v>REPITE</v>
      </c>
      <c r="P793" t="str">
        <f>IF(Tabla1[[#This Row],[rating_segun encuesta a Consumidor]]&lt;5,"Regular",IF(Tabla1[[#This Row],[rating_segun encuesta a Consumidor]]&gt;8,"Excelente","Bueno"))</f>
        <v>Excelente</v>
      </c>
    </row>
    <row r="794" spans="1:16" x14ac:dyDescent="0.35">
      <c r="A794" s="1">
        <v>44154</v>
      </c>
      <c r="B794">
        <v>5024</v>
      </c>
      <c r="C794" t="s">
        <v>20</v>
      </c>
      <c r="D794">
        <v>218</v>
      </c>
      <c r="E794">
        <v>164.59200000000001</v>
      </c>
      <c r="F794">
        <v>1</v>
      </c>
      <c r="G794" t="s">
        <v>24</v>
      </c>
      <c r="H794" t="s">
        <v>54</v>
      </c>
      <c r="I794" t="s">
        <v>18</v>
      </c>
      <c r="J794" t="s">
        <v>19</v>
      </c>
      <c r="K794">
        <v>6</v>
      </c>
      <c r="L794">
        <v>1</v>
      </c>
      <c r="M794" s="2">
        <f t="shared" si="12"/>
        <v>35881.056000000004</v>
      </c>
      <c r="N794" s="2" t="str">
        <f>IF(Tabla1[[#This Row],[Aprobación_Veterinaria]]=1,"APROBADO","NO APROBADO")</f>
        <v>APROBADO</v>
      </c>
      <c r="O794" t="str">
        <f>IF(Tabla1[[#This Row],[Repite compra?]]=1,"REPITE","NO REPITE")</f>
        <v>REPITE</v>
      </c>
      <c r="P794" t="str">
        <f>IF(Tabla1[[#This Row],[rating_segun encuesta a Consumidor]]&lt;5,"Regular",IF(Tabla1[[#This Row],[rating_segun encuesta a Consumidor]]&gt;8,"Excelente","Bueno"))</f>
        <v>Bueno</v>
      </c>
    </row>
    <row r="795" spans="1:16" x14ac:dyDescent="0.35">
      <c r="A795" s="1">
        <v>43897</v>
      </c>
      <c r="B795">
        <v>4402</v>
      </c>
      <c r="C795" t="s">
        <v>20</v>
      </c>
      <c r="D795">
        <v>19</v>
      </c>
      <c r="E795">
        <v>11.28</v>
      </c>
      <c r="F795">
        <v>0</v>
      </c>
      <c r="G795" t="s">
        <v>27</v>
      </c>
      <c r="H795" t="s">
        <v>22</v>
      </c>
      <c r="I795" t="s">
        <v>18</v>
      </c>
      <c r="J795" t="s">
        <v>29</v>
      </c>
      <c r="K795">
        <v>8</v>
      </c>
      <c r="L795">
        <v>0</v>
      </c>
      <c r="M795" s="2">
        <f t="shared" si="12"/>
        <v>214.32</v>
      </c>
      <c r="N795" s="2" t="str">
        <f>IF(Tabla1[[#This Row],[Aprobación_Veterinaria]]=1,"APROBADO","NO APROBADO")</f>
        <v>NO APROBADO</v>
      </c>
      <c r="O795" t="str">
        <f>IF(Tabla1[[#This Row],[Repite compra?]]=1,"REPITE","NO REPITE")</f>
        <v>NO REPITE</v>
      </c>
      <c r="P795" t="str">
        <f>IF(Tabla1[[#This Row],[rating_segun encuesta a Consumidor]]&lt;5,"Regular",IF(Tabla1[[#This Row],[rating_segun encuesta a Consumidor]]&gt;8,"Excelente","Bueno"))</f>
        <v>Bueno</v>
      </c>
    </row>
    <row r="796" spans="1:16" x14ac:dyDescent="0.35">
      <c r="A796" s="1">
        <v>44138</v>
      </c>
      <c r="B796">
        <v>4263</v>
      </c>
      <c r="C796" t="s">
        <v>47</v>
      </c>
      <c r="D796">
        <v>184</v>
      </c>
      <c r="E796">
        <v>192.3</v>
      </c>
      <c r="F796">
        <v>1</v>
      </c>
      <c r="G796" t="s">
        <v>31</v>
      </c>
      <c r="H796" t="s">
        <v>22</v>
      </c>
      <c r="I796" t="s">
        <v>41</v>
      </c>
      <c r="J796" t="s">
        <v>23</v>
      </c>
      <c r="K796">
        <v>4</v>
      </c>
      <c r="L796">
        <v>1</v>
      </c>
      <c r="M796" s="2">
        <f t="shared" si="12"/>
        <v>35383.200000000004</v>
      </c>
      <c r="N796" s="2" t="str">
        <f>IF(Tabla1[[#This Row],[Aprobación_Veterinaria]]=1,"APROBADO","NO APROBADO")</f>
        <v>APROBADO</v>
      </c>
      <c r="O796" t="str">
        <f>IF(Tabla1[[#This Row],[Repite compra?]]=1,"REPITE","NO REPITE")</f>
        <v>REPITE</v>
      </c>
      <c r="P796" t="str">
        <f>IF(Tabla1[[#This Row],[rating_segun encuesta a Consumidor]]&lt;5,"Regular",IF(Tabla1[[#This Row],[rating_segun encuesta a Consumidor]]&gt;8,"Excelente","Bueno"))</f>
        <v>Regular</v>
      </c>
    </row>
    <row r="797" spans="1:16" x14ac:dyDescent="0.35">
      <c r="A797" s="1">
        <v>43844</v>
      </c>
      <c r="B797">
        <v>4345</v>
      </c>
      <c r="C797" t="s">
        <v>32</v>
      </c>
      <c r="D797">
        <v>93</v>
      </c>
      <c r="E797">
        <v>38.015999999999998</v>
      </c>
      <c r="F797">
        <v>0</v>
      </c>
      <c r="G797" t="s">
        <v>33</v>
      </c>
      <c r="H797" t="s">
        <v>22</v>
      </c>
      <c r="I797" t="s">
        <v>35</v>
      </c>
      <c r="J797" t="s">
        <v>23</v>
      </c>
      <c r="K797">
        <v>1</v>
      </c>
      <c r="L797">
        <v>0</v>
      </c>
      <c r="M797" s="2">
        <f t="shared" si="12"/>
        <v>3535.4879999999998</v>
      </c>
      <c r="N797" s="2" t="str">
        <f>IF(Tabla1[[#This Row],[Aprobación_Veterinaria]]=1,"APROBADO","NO APROBADO")</f>
        <v>NO APROBADO</v>
      </c>
      <c r="O797" t="str">
        <f>IF(Tabla1[[#This Row],[Repite compra?]]=1,"REPITE","NO REPITE")</f>
        <v>NO REPITE</v>
      </c>
      <c r="P797" t="str">
        <f>IF(Tabla1[[#This Row],[rating_segun encuesta a Consumidor]]&lt;5,"Regular",IF(Tabla1[[#This Row],[rating_segun encuesta a Consumidor]]&gt;8,"Excelente","Bueno"))</f>
        <v>Regular</v>
      </c>
    </row>
    <row r="798" spans="1:16" x14ac:dyDescent="0.35">
      <c r="A798" s="1">
        <v>44163</v>
      </c>
      <c r="B798">
        <v>4867</v>
      </c>
      <c r="C798" t="s">
        <v>26</v>
      </c>
      <c r="D798">
        <v>215</v>
      </c>
      <c r="E798">
        <v>200.988</v>
      </c>
      <c r="F798">
        <v>1</v>
      </c>
      <c r="G798" t="s">
        <v>34</v>
      </c>
      <c r="H798" t="s">
        <v>38</v>
      </c>
      <c r="I798" t="s">
        <v>41</v>
      </c>
      <c r="J798" t="s">
        <v>23</v>
      </c>
      <c r="K798">
        <v>6</v>
      </c>
      <c r="L798">
        <v>0</v>
      </c>
      <c r="M798" s="2">
        <f t="shared" si="12"/>
        <v>43212.42</v>
      </c>
      <c r="N798" s="2" t="str">
        <f>IF(Tabla1[[#This Row],[Aprobación_Veterinaria]]=1,"APROBADO","NO APROBADO")</f>
        <v>APROBADO</v>
      </c>
      <c r="O798" t="str">
        <f>IF(Tabla1[[#This Row],[Repite compra?]]=1,"REPITE","NO REPITE")</f>
        <v>NO REPITE</v>
      </c>
      <c r="P798" t="str">
        <f>IF(Tabla1[[#This Row],[rating_segun encuesta a Consumidor]]&lt;5,"Regular",IF(Tabla1[[#This Row],[rating_segun encuesta a Consumidor]]&gt;8,"Excelente","Bueno"))</f>
        <v>Bueno</v>
      </c>
    </row>
    <row r="799" spans="1:16" x14ac:dyDescent="0.35">
      <c r="A799" s="1">
        <v>43956</v>
      </c>
      <c r="B799">
        <v>4996</v>
      </c>
      <c r="C799" t="s">
        <v>26</v>
      </c>
      <c r="D799">
        <v>209</v>
      </c>
      <c r="E799">
        <v>207.78</v>
      </c>
      <c r="F799">
        <v>0</v>
      </c>
      <c r="G799" t="s">
        <v>36</v>
      </c>
      <c r="H799" t="s">
        <v>48</v>
      </c>
      <c r="I799" t="s">
        <v>18</v>
      </c>
      <c r="J799" t="s">
        <v>19</v>
      </c>
      <c r="K799">
        <v>6</v>
      </c>
      <c r="L799">
        <v>0</v>
      </c>
      <c r="M799" s="2">
        <f t="shared" si="12"/>
        <v>43426.02</v>
      </c>
      <c r="N799" s="2" t="str">
        <f>IF(Tabla1[[#This Row],[Aprobación_Veterinaria]]=1,"APROBADO","NO APROBADO")</f>
        <v>NO APROBADO</v>
      </c>
      <c r="O799" t="str">
        <f>IF(Tabla1[[#This Row],[Repite compra?]]=1,"REPITE","NO REPITE")</f>
        <v>NO REPITE</v>
      </c>
      <c r="P799" t="str">
        <f>IF(Tabla1[[#This Row],[rating_segun encuesta a Consumidor]]&lt;5,"Regular",IF(Tabla1[[#This Row],[rating_segun encuesta a Consumidor]]&gt;8,"Excelente","Bueno"))</f>
        <v>Bueno</v>
      </c>
    </row>
    <row r="800" spans="1:16" x14ac:dyDescent="0.35">
      <c r="A800" s="1">
        <v>43927</v>
      </c>
      <c r="B800">
        <v>4584</v>
      </c>
      <c r="C800" t="s">
        <v>26</v>
      </c>
      <c r="D800">
        <v>154</v>
      </c>
      <c r="E800">
        <v>169.12800000000001</v>
      </c>
      <c r="F800">
        <v>0</v>
      </c>
      <c r="G800" t="s">
        <v>37</v>
      </c>
      <c r="H800" t="s">
        <v>22</v>
      </c>
      <c r="I800" t="s">
        <v>28</v>
      </c>
      <c r="J800" t="s">
        <v>29</v>
      </c>
      <c r="K800">
        <v>10</v>
      </c>
      <c r="L800">
        <v>1</v>
      </c>
      <c r="M800" s="2">
        <f t="shared" si="12"/>
        <v>26045.712000000003</v>
      </c>
      <c r="N800" s="2" t="str">
        <f>IF(Tabla1[[#This Row],[Aprobación_Veterinaria]]=1,"APROBADO","NO APROBADO")</f>
        <v>NO APROBADO</v>
      </c>
      <c r="O800" t="str">
        <f>IF(Tabla1[[#This Row],[Repite compra?]]=1,"REPITE","NO REPITE")</f>
        <v>REPITE</v>
      </c>
      <c r="P800" t="str">
        <f>IF(Tabla1[[#This Row],[rating_segun encuesta a Consumidor]]&lt;5,"Regular",IF(Tabla1[[#This Row],[rating_segun encuesta a Consumidor]]&gt;8,"Excelente","Bueno"))</f>
        <v>Excelente</v>
      </c>
    </row>
    <row r="801" spans="1:16" x14ac:dyDescent="0.35">
      <c r="A801" s="1">
        <v>43845</v>
      </c>
      <c r="B801">
        <v>4780</v>
      </c>
      <c r="C801" t="s">
        <v>26</v>
      </c>
      <c r="D801">
        <v>67</v>
      </c>
      <c r="E801">
        <v>129.50399999999999</v>
      </c>
      <c r="F801">
        <v>1</v>
      </c>
      <c r="G801" t="s">
        <v>40</v>
      </c>
      <c r="H801" t="s">
        <v>44</v>
      </c>
      <c r="I801" t="s">
        <v>18</v>
      </c>
      <c r="J801" t="s">
        <v>29</v>
      </c>
      <c r="K801">
        <v>7</v>
      </c>
      <c r="L801">
        <v>1</v>
      </c>
      <c r="M801" s="2">
        <f t="shared" si="12"/>
        <v>8676.768</v>
      </c>
      <c r="N801" s="2" t="str">
        <f>IF(Tabla1[[#This Row],[Aprobación_Veterinaria]]=1,"APROBADO","NO APROBADO")</f>
        <v>APROBADO</v>
      </c>
      <c r="O801" t="str">
        <f>IF(Tabla1[[#This Row],[Repite compra?]]=1,"REPITE","NO REPITE")</f>
        <v>REPITE</v>
      </c>
      <c r="P801" t="str">
        <f>IF(Tabla1[[#This Row],[rating_segun encuesta a Consumidor]]&lt;5,"Regular",IF(Tabla1[[#This Row],[rating_segun encuesta a Consumidor]]&gt;8,"Excelente","Bueno"))</f>
        <v>Bueno</v>
      </c>
    </row>
    <row r="802" spans="1:16" x14ac:dyDescent="0.35">
      <c r="A802" s="1">
        <v>43954</v>
      </c>
      <c r="B802">
        <v>4917</v>
      </c>
      <c r="C802" t="s">
        <v>15</v>
      </c>
      <c r="D802">
        <v>74</v>
      </c>
      <c r="E802">
        <v>52.44</v>
      </c>
      <c r="F802">
        <v>1</v>
      </c>
      <c r="G802" t="s">
        <v>16</v>
      </c>
      <c r="H802" t="s">
        <v>38</v>
      </c>
      <c r="I802" t="s">
        <v>41</v>
      </c>
      <c r="J802" t="s">
        <v>23</v>
      </c>
      <c r="K802">
        <v>6</v>
      </c>
      <c r="L802">
        <v>0</v>
      </c>
      <c r="M802" s="2">
        <f t="shared" si="12"/>
        <v>3880.56</v>
      </c>
      <c r="N802" s="2" t="str">
        <f>IF(Tabla1[[#This Row],[Aprobación_Veterinaria]]=1,"APROBADO","NO APROBADO")</f>
        <v>APROBADO</v>
      </c>
      <c r="O802" t="str">
        <f>IF(Tabla1[[#This Row],[Repite compra?]]=1,"REPITE","NO REPITE")</f>
        <v>NO REPITE</v>
      </c>
      <c r="P802" t="str">
        <f>IF(Tabla1[[#This Row],[rating_segun encuesta a Consumidor]]&lt;5,"Regular",IF(Tabla1[[#This Row],[rating_segun encuesta a Consumidor]]&gt;8,"Excelente","Bueno"))</f>
        <v>Bueno</v>
      </c>
    </row>
    <row r="803" spans="1:16" x14ac:dyDescent="0.35">
      <c r="A803" s="1">
        <v>43858</v>
      </c>
      <c r="B803">
        <v>4642</v>
      </c>
      <c r="C803" t="s">
        <v>32</v>
      </c>
      <c r="D803">
        <v>36</v>
      </c>
      <c r="E803">
        <v>127.488</v>
      </c>
      <c r="F803">
        <v>0</v>
      </c>
      <c r="G803" t="s">
        <v>21</v>
      </c>
      <c r="H803" t="s">
        <v>22</v>
      </c>
      <c r="I803" t="s">
        <v>18</v>
      </c>
      <c r="J803" t="s">
        <v>29</v>
      </c>
      <c r="K803">
        <v>10</v>
      </c>
      <c r="L803">
        <v>1</v>
      </c>
      <c r="M803" s="2">
        <f t="shared" si="12"/>
        <v>4589.5680000000002</v>
      </c>
      <c r="N803" s="2" t="str">
        <f>IF(Tabla1[[#This Row],[Aprobación_Veterinaria]]=1,"APROBADO","NO APROBADO")</f>
        <v>NO APROBADO</v>
      </c>
      <c r="O803" t="str">
        <f>IF(Tabla1[[#This Row],[Repite compra?]]=1,"REPITE","NO REPITE")</f>
        <v>REPITE</v>
      </c>
      <c r="P803" t="str">
        <f>IF(Tabla1[[#This Row],[rating_segun encuesta a Consumidor]]&lt;5,"Regular",IF(Tabla1[[#This Row],[rating_segun encuesta a Consumidor]]&gt;8,"Excelente","Bueno"))</f>
        <v>Excelente</v>
      </c>
    </row>
    <row r="804" spans="1:16" x14ac:dyDescent="0.35">
      <c r="A804" s="1">
        <v>43929</v>
      </c>
      <c r="B804">
        <v>4424</v>
      </c>
      <c r="C804" t="s">
        <v>20</v>
      </c>
      <c r="D804">
        <v>87</v>
      </c>
      <c r="E804">
        <v>192.06</v>
      </c>
      <c r="F804">
        <v>1</v>
      </c>
      <c r="G804" t="s">
        <v>24</v>
      </c>
      <c r="H804" t="s">
        <v>22</v>
      </c>
      <c r="I804" t="s">
        <v>28</v>
      </c>
      <c r="J804" t="s">
        <v>29</v>
      </c>
      <c r="K804">
        <v>7</v>
      </c>
      <c r="L804">
        <v>0</v>
      </c>
      <c r="M804" s="2">
        <f t="shared" si="12"/>
        <v>16709.22</v>
      </c>
      <c r="N804" s="2" t="str">
        <f>IF(Tabla1[[#This Row],[Aprobación_Veterinaria]]=1,"APROBADO","NO APROBADO")</f>
        <v>APROBADO</v>
      </c>
      <c r="O804" t="str">
        <f>IF(Tabla1[[#This Row],[Repite compra?]]=1,"REPITE","NO REPITE")</f>
        <v>NO REPITE</v>
      </c>
      <c r="P804" t="str">
        <f>IF(Tabla1[[#This Row],[rating_segun encuesta a Consumidor]]&lt;5,"Regular",IF(Tabla1[[#This Row],[rating_segun encuesta a Consumidor]]&gt;8,"Excelente","Bueno"))</f>
        <v>Bueno</v>
      </c>
    </row>
    <row r="805" spans="1:16" x14ac:dyDescent="0.35">
      <c r="A805" s="1">
        <v>43960</v>
      </c>
      <c r="B805">
        <v>4403</v>
      </c>
      <c r="C805" t="s">
        <v>39</v>
      </c>
      <c r="D805">
        <v>207</v>
      </c>
      <c r="E805">
        <v>203.952</v>
      </c>
      <c r="F805">
        <v>1</v>
      </c>
      <c r="G805" t="s">
        <v>27</v>
      </c>
      <c r="H805" t="s">
        <v>22</v>
      </c>
      <c r="I805" t="s">
        <v>41</v>
      </c>
      <c r="J805" t="s">
        <v>23</v>
      </c>
      <c r="K805">
        <v>5</v>
      </c>
      <c r="L805">
        <v>1</v>
      </c>
      <c r="M805" s="2">
        <f t="shared" si="12"/>
        <v>42218.063999999998</v>
      </c>
      <c r="N805" s="2" t="str">
        <f>IF(Tabla1[[#This Row],[Aprobación_Veterinaria]]=1,"APROBADO","NO APROBADO")</f>
        <v>APROBADO</v>
      </c>
      <c r="O805" t="str">
        <f>IF(Tabla1[[#This Row],[Repite compra?]]=1,"REPITE","NO REPITE")</f>
        <v>REPITE</v>
      </c>
      <c r="P805" t="str">
        <f>IF(Tabla1[[#This Row],[rating_segun encuesta a Consumidor]]&lt;5,"Regular",IF(Tabla1[[#This Row],[rating_segun encuesta a Consumidor]]&gt;8,"Excelente","Bueno"))</f>
        <v>Bueno</v>
      </c>
    </row>
    <row r="806" spans="1:16" x14ac:dyDescent="0.35">
      <c r="A806" s="1">
        <v>43940</v>
      </c>
      <c r="B806">
        <v>4196</v>
      </c>
      <c r="C806" t="s">
        <v>51</v>
      </c>
      <c r="D806">
        <v>121</v>
      </c>
      <c r="E806">
        <v>70.62</v>
      </c>
      <c r="F806">
        <v>0</v>
      </c>
      <c r="G806" t="s">
        <v>31</v>
      </c>
      <c r="H806" t="s">
        <v>22</v>
      </c>
      <c r="I806" t="s">
        <v>45</v>
      </c>
      <c r="J806" t="s">
        <v>29</v>
      </c>
      <c r="K806">
        <v>1</v>
      </c>
      <c r="L806">
        <v>1</v>
      </c>
      <c r="M806" s="2">
        <f t="shared" si="12"/>
        <v>8545.02</v>
      </c>
      <c r="N806" s="2" t="str">
        <f>IF(Tabla1[[#This Row],[Aprobación_Veterinaria]]=1,"APROBADO","NO APROBADO")</f>
        <v>NO APROBADO</v>
      </c>
      <c r="O806" t="str">
        <f>IF(Tabla1[[#This Row],[Repite compra?]]=1,"REPITE","NO REPITE")</f>
        <v>REPITE</v>
      </c>
      <c r="P806" t="str">
        <f>IF(Tabla1[[#This Row],[rating_segun encuesta a Consumidor]]&lt;5,"Regular",IF(Tabla1[[#This Row],[rating_segun encuesta a Consumidor]]&gt;8,"Excelente","Bueno"))</f>
        <v>Regular</v>
      </c>
    </row>
    <row r="807" spans="1:16" x14ac:dyDescent="0.35">
      <c r="A807" s="1">
        <v>44115</v>
      </c>
      <c r="B807">
        <v>4381</v>
      </c>
      <c r="C807" t="s">
        <v>39</v>
      </c>
      <c r="D807">
        <v>26</v>
      </c>
      <c r="E807">
        <v>91.152000000000001</v>
      </c>
      <c r="F807">
        <v>1</v>
      </c>
      <c r="G807" t="s">
        <v>33</v>
      </c>
      <c r="H807" t="s">
        <v>22</v>
      </c>
      <c r="I807" t="s">
        <v>45</v>
      </c>
      <c r="J807" t="s">
        <v>23</v>
      </c>
      <c r="K807">
        <v>8</v>
      </c>
      <c r="L807">
        <v>1</v>
      </c>
      <c r="M807" s="2">
        <f t="shared" si="12"/>
        <v>2369.9520000000002</v>
      </c>
      <c r="N807" s="2" t="str">
        <f>IF(Tabla1[[#This Row],[Aprobación_Veterinaria]]=1,"APROBADO","NO APROBADO")</f>
        <v>APROBADO</v>
      </c>
      <c r="O807" t="str">
        <f>IF(Tabla1[[#This Row],[Repite compra?]]=1,"REPITE","NO REPITE")</f>
        <v>REPITE</v>
      </c>
      <c r="P807" t="str">
        <f>IF(Tabla1[[#This Row],[rating_segun encuesta a Consumidor]]&lt;5,"Regular",IF(Tabla1[[#This Row],[rating_segun encuesta a Consumidor]]&gt;8,"Excelente","Bueno"))</f>
        <v>Bueno</v>
      </c>
    </row>
    <row r="808" spans="1:16" x14ac:dyDescent="0.35">
      <c r="A808" s="1">
        <v>44028</v>
      </c>
      <c r="B808">
        <v>4734</v>
      </c>
      <c r="C808" t="s">
        <v>43</v>
      </c>
      <c r="D808">
        <v>14</v>
      </c>
      <c r="E808">
        <v>211.82400000000001</v>
      </c>
      <c r="F808">
        <v>1</v>
      </c>
      <c r="G808" t="s">
        <v>34</v>
      </c>
      <c r="H808" t="s">
        <v>54</v>
      </c>
      <c r="I808" t="s">
        <v>18</v>
      </c>
      <c r="J808" t="s">
        <v>29</v>
      </c>
      <c r="K808">
        <v>7</v>
      </c>
      <c r="L808">
        <v>1</v>
      </c>
      <c r="M808" s="2">
        <f t="shared" si="12"/>
        <v>2965.5360000000001</v>
      </c>
      <c r="N808" s="2" t="str">
        <f>IF(Tabla1[[#This Row],[Aprobación_Veterinaria]]=1,"APROBADO","NO APROBADO")</f>
        <v>APROBADO</v>
      </c>
      <c r="O808" t="str">
        <f>IF(Tabla1[[#This Row],[Repite compra?]]=1,"REPITE","NO REPITE")</f>
        <v>REPITE</v>
      </c>
      <c r="P808" t="str">
        <f>IF(Tabla1[[#This Row],[rating_segun encuesta a Consumidor]]&lt;5,"Regular",IF(Tabla1[[#This Row],[rating_segun encuesta a Consumidor]]&gt;8,"Excelente","Bueno"))</f>
        <v>Bueno</v>
      </c>
    </row>
    <row r="809" spans="1:16" x14ac:dyDescent="0.35">
      <c r="A809" s="1">
        <v>44148</v>
      </c>
      <c r="B809">
        <v>4978</v>
      </c>
      <c r="C809" t="s">
        <v>26</v>
      </c>
      <c r="D809">
        <v>102</v>
      </c>
      <c r="E809">
        <v>105.13200000000001</v>
      </c>
      <c r="F809">
        <v>1</v>
      </c>
      <c r="G809" t="s">
        <v>36</v>
      </c>
      <c r="H809" t="s">
        <v>50</v>
      </c>
      <c r="I809" t="s">
        <v>18</v>
      </c>
      <c r="J809" t="s">
        <v>19</v>
      </c>
      <c r="K809">
        <v>6</v>
      </c>
      <c r="L809">
        <v>0</v>
      </c>
      <c r="M809" s="2">
        <f t="shared" si="12"/>
        <v>10723.464</v>
      </c>
      <c r="N809" s="2" t="str">
        <f>IF(Tabla1[[#This Row],[Aprobación_Veterinaria]]=1,"APROBADO","NO APROBADO")</f>
        <v>APROBADO</v>
      </c>
      <c r="O809" t="str">
        <f>IF(Tabla1[[#This Row],[Repite compra?]]=1,"REPITE","NO REPITE")</f>
        <v>NO REPITE</v>
      </c>
      <c r="P809" t="str">
        <f>IF(Tabla1[[#This Row],[rating_segun encuesta a Consumidor]]&lt;5,"Regular",IF(Tabla1[[#This Row],[rating_segun encuesta a Consumidor]]&gt;8,"Excelente","Bueno"))</f>
        <v>Bueno</v>
      </c>
    </row>
    <row r="810" spans="1:16" x14ac:dyDescent="0.35">
      <c r="A810" s="1">
        <v>43950</v>
      </c>
      <c r="B810">
        <v>4386</v>
      </c>
      <c r="C810" t="s">
        <v>26</v>
      </c>
      <c r="D810">
        <v>197</v>
      </c>
      <c r="E810">
        <v>200.376</v>
      </c>
      <c r="F810">
        <v>0</v>
      </c>
      <c r="G810" t="s">
        <v>37</v>
      </c>
      <c r="H810" t="s">
        <v>22</v>
      </c>
      <c r="I810" t="s">
        <v>45</v>
      </c>
      <c r="J810" t="s">
        <v>29</v>
      </c>
      <c r="K810">
        <v>9</v>
      </c>
      <c r="L810">
        <v>0</v>
      </c>
      <c r="M810" s="2">
        <f t="shared" si="12"/>
        <v>39474.072</v>
      </c>
      <c r="N810" s="2" t="str">
        <f>IF(Tabla1[[#This Row],[Aprobación_Veterinaria]]=1,"APROBADO","NO APROBADO")</f>
        <v>NO APROBADO</v>
      </c>
      <c r="O810" t="str">
        <f>IF(Tabla1[[#This Row],[Repite compra?]]=1,"REPITE","NO REPITE")</f>
        <v>NO REPITE</v>
      </c>
      <c r="P810" t="str">
        <f>IF(Tabla1[[#This Row],[rating_segun encuesta a Consumidor]]&lt;5,"Regular",IF(Tabla1[[#This Row],[rating_segun encuesta a Consumidor]]&gt;8,"Excelente","Bueno"))</f>
        <v>Excelente</v>
      </c>
    </row>
    <row r="811" spans="1:16" x14ac:dyDescent="0.35">
      <c r="A811" s="1">
        <v>44126</v>
      </c>
      <c r="B811">
        <v>4643</v>
      </c>
      <c r="C811" t="s">
        <v>42</v>
      </c>
      <c r="D811">
        <v>26</v>
      </c>
      <c r="E811">
        <v>227.208</v>
      </c>
      <c r="F811">
        <v>0</v>
      </c>
      <c r="G811" t="s">
        <v>40</v>
      </c>
      <c r="H811" t="s">
        <v>22</v>
      </c>
      <c r="I811" t="s">
        <v>41</v>
      </c>
      <c r="J811" t="s">
        <v>23</v>
      </c>
      <c r="K811">
        <v>10</v>
      </c>
      <c r="L811">
        <v>0</v>
      </c>
      <c r="M811" s="2">
        <f t="shared" si="12"/>
        <v>5907.4080000000004</v>
      </c>
      <c r="N811" s="2" t="str">
        <f>IF(Tabla1[[#This Row],[Aprobación_Veterinaria]]=1,"APROBADO","NO APROBADO")</f>
        <v>NO APROBADO</v>
      </c>
      <c r="O811" t="str">
        <f>IF(Tabla1[[#This Row],[Repite compra?]]=1,"REPITE","NO REPITE")</f>
        <v>NO REPITE</v>
      </c>
      <c r="P811" t="str">
        <f>IF(Tabla1[[#This Row],[rating_segun encuesta a Consumidor]]&lt;5,"Regular",IF(Tabla1[[#This Row],[rating_segun encuesta a Consumidor]]&gt;8,"Excelente","Bueno"))</f>
        <v>Excelente</v>
      </c>
    </row>
    <row r="812" spans="1:16" x14ac:dyDescent="0.35">
      <c r="A812" s="1">
        <v>43978</v>
      </c>
      <c r="B812">
        <v>4344</v>
      </c>
      <c r="C812" t="s">
        <v>46</v>
      </c>
      <c r="D812">
        <v>33</v>
      </c>
      <c r="E812">
        <v>111.768</v>
      </c>
      <c r="F812">
        <v>1</v>
      </c>
      <c r="G812" t="s">
        <v>16</v>
      </c>
      <c r="H812" t="s">
        <v>22</v>
      </c>
      <c r="I812" t="s">
        <v>28</v>
      </c>
      <c r="J812" t="s">
        <v>29</v>
      </c>
      <c r="K812">
        <v>5</v>
      </c>
      <c r="L812">
        <v>0</v>
      </c>
      <c r="M812" s="2">
        <f t="shared" si="12"/>
        <v>3688.3440000000001</v>
      </c>
      <c r="N812" s="2" t="str">
        <f>IF(Tabla1[[#This Row],[Aprobación_Veterinaria]]=1,"APROBADO","NO APROBADO")</f>
        <v>APROBADO</v>
      </c>
      <c r="O812" t="str">
        <f>IF(Tabla1[[#This Row],[Repite compra?]]=1,"REPITE","NO REPITE")</f>
        <v>NO REPITE</v>
      </c>
      <c r="P812" t="str">
        <f>IF(Tabla1[[#This Row],[rating_segun encuesta a Consumidor]]&lt;5,"Regular",IF(Tabla1[[#This Row],[rating_segun encuesta a Consumidor]]&gt;8,"Excelente","Bueno"))</f>
        <v>Bueno</v>
      </c>
    </row>
    <row r="813" spans="1:16" x14ac:dyDescent="0.35">
      <c r="A813" s="1">
        <v>44000</v>
      </c>
      <c r="B813">
        <v>4505</v>
      </c>
      <c r="C813" t="s">
        <v>47</v>
      </c>
      <c r="D813">
        <v>109</v>
      </c>
      <c r="E813">
        <v>8.2919999999999998</v>
      </c>
      <c r="F813">
        <v>1</v>
      </c>
      <c r="G813" t="s">
        <v>21</v>
      </c>
      <c r="H813" t="s">
        <v>22</v>
      </c>
      <c r="I813" t="s">
        <v>35</v>
      </c>
      <c r="J813" t="s">
        <v>23</v>
      </c>
      <c r="K813">
        <v>10</v>
      </c>
      <c r="L813">
        <v>0</v>
      </c>
      <c r="M813" s="2">
        <f t="shared" si="12"/>
        <v>903.82799999999997</v>
      </c>
      <c r="N813" s="2" t="str">
        <f>IF(Tabla1[[#This Row],[Aprobación_Veterinaria]]=1,"APROBADO","NO APROBADO")</f>
        <v>APROBADO</v>
      </c>
      <c r="O813" t="str">
        <f>IF(Tabla1[[#This Row],[Repite compra?]]=1,"REPITE","NO REPITE")</f>
        <v>NO REPITE</v>
      </c>
      <c r="P813" t="str">
        <f>IF(Tabla1[[#This Row],[rating_segun encuesta a Consumidor]]&lt;5,"Regular",IF(Tabla1[[#This Row],[rating_segun encuesta a Consumidor]]&gt;8,"Excelente","Bueno"))</f>
        <v>Excelente</v>
      </c>
    </row>
    <row r="814" spans="1:16" x14ac:dyDescent="0.35">
      <c r="A814" s="1">
        <v>44027</v>
      </c>
      <c r="B814">
        <v>4956</v>
      </c>
      <c r="C814" t="s">
        <v>15</v>
      </c>
      <c r="D814">
        <v>173</v>
      </c>
      <c r="E814">
        <v>11.34</v>
      </c>
      <c r="F814">
        <v>0</v>
      </c>
      <c r="G814" t="s">
        <v>24</v>
      </c>
      <c r="H814" t="s">
        <v>48</v>
      </c>
      <c r="I814" t="s">
        <v>18</v>
      </c>
      <c r="J814" t="s">
        <v>29</v>
      </c>
      <c r="K814">
        <v>6</v>
      </c>
      <c r="L814">
        <v>0</v>
      </c>
      <c r="M814" s="2">
        <f t="shared" si="12"/>
        <v>1961.82</v>
      </c>
      <c r="N814" s="2" t="str">
        <f>IF(Tabla1[[#This Row],[Aprobación_Veterinaria]]=1,"APROBADO","NO APROBADO")</f>
        <v>NO APROBADO</v>
      </c>
      <c r="O814" t="str">
        <f>IF(Tabla1[[#This Row],[Repite compra?]]=1,"REPITE","NO REPITE")</f>
        <v>NO REPITE</v>
      </c>
      <c r="P814" t="str">
        <f>IF(Tabla1[[#This Row],[rating_segun encuesta a Consumidor]]&lt;5,"Regular",IF(Tabla1[[#This Row],[rating_segun encuesta a Consumidor]]&gt;8,"Excelente","Bueno"))</f>
        <v>Bueno</v>
      </c>
    </row>
    <row r="815" spans="1:16" x14ac:dyDescent="0.35">
      <c r="A815" s="1">
        <v>44072</v>
      </c>
      <c r="B815">
        <v>4876</v>
      </c>
      <c r="C815" t="s">
        <v>26</v>
      </c>
      <c r="D815">
        <v>92</v>
      </c>
      <c r="E815">
        <v>186.084</v>
      </c>
      <c r="F815">
        <v>0</v>
      </c>
      <c r="G815" t="s">
        <v>27</v>
      </c>
      <c r="H815" t="s">
        <v>48</v>
      </c>
      <c r="I815" t="s">
        <v>18</v>
      </c>
      <c r="J815" t="s">
        <v>29</v>
      </c>
      <c r="K815">
        <v>6</v>
      </c>
      <c r="L815">
        <v>0</v>
      </c>
      <c r="M815" s="2">
        <f t="shared" si="12"/>
        <v>17119.727999999999</v>
      </c>
      <c r="N815" s="2" t="str">
        <f>IF(Tabla1[[#This Row],[Aprobación_Veterinaria]]=1,"APROBADO","NO APROBADO")</f>
        <v>NO APROBADO</v>
      </c>
      <c r="O815" t="str">
        <f>IF(Tabla1[[#This Row],[Repite compra?]]=1,"REPITE","NO REPITE")</f>
        <v>NO REPITE</v>
      </c>
      <c r="P815" t="str">
        <f>IF(Tabla1[[#This Row],[rating_segun encuesta a Consumidor]]&lt;5,"Regular",IF(Tabla1[[#This Row],[rating_segun encuesta a Consumidor]]&gt;8,"Excelente","Bueno"))</f>
        <v>Bueno</v>
      </c>
    </row>
    <row r="816" spans="1:16" x14ac:dyDescent="0.35">
      <c r="A816" s="1">
        <v>43931</v>
      </c>
      <c r="B816">
        <v>4467</v>
      </c>
      <c r="C816" t="s">
        <v>42</v>
      </c>
      <c r="D816">
        <v>169</v>
      </c>
      <c r="E816">
        <v>218.892</v>
      </c>
      <c r="F816">
        <v>1</v>
      </c>
      <c r="G816" t="s">
        <v>31</v>
      </c>
      <c r="H816" t="s">
        <v>22</v>
      </c>
      <c r="I816" t="s">
        <v>18</v>
      </c>
      <c r="J816" t="s">
        <v>23</v>
      </c>
      <c r="K816">
        <v>2</v>
      </c>
      <c r="L816">
        <v>0</v>
      </c>
      <c r="M816" s="2">
        <f t="shared" si="12"/>
        <v>36992.748</v>
      </c>
      <c r="N816" s="2" t="str">
        <f>IF(Tabla1[[#This Row],[Aprobación_Veterinaria]]=1,"APROBADO","NO APROBADO")</f>
        <v>APROBADO</v>
      </c>
      <c r="O816" t="str">
        <f>IF(Tabla1[[#This Row],[Repite compra?]]=1,"REPITE","NO REPITE")</f>
        <v>NO REPITE</v>
      </c>
      <c r="P816" t="str">
        <f>IF(Tabla1[[#This Row],[rating_segun encuesta a Consumidor]]&lt;5,"Regular",IF(Tabla1[[#This Row],[rating_segun encuesta a Consumidor]]&gt;8,"Excelente","Bueno"))</f>
        <v>Regular</v>
      </c>
    </row>
    <row r="817" spans="1:16" x14ac:dyDescent="0.35">
      <c r="A817" s="1">
        <v>43893</v>
      </c>
      <c r="B817">
        <v>5041</v>
      </c>
      <c r="C817" t="s">
        <v>26</v>
      </c>
      <c r="D817">
        <v>179</v>
      </c>
      <c r="E817">
        <v>225.97200000000001</v>
      </c>
      <c r="F817">
        <v>1</v>
      </c>
      <c r="G817" t="s">
        <v>33</v>
      </c>
      <c r="H817" t="s">
        <v>52</v>
      </c>
      <c r="I817" t="s">
        <v>41</v>
      </c>
      <c r="J817" t="s">
        <v>49</v>
      </c>
      <c r="K817">
        <v>7</v>
      </c>
      <c r="L817">
        <v>1</v>
      </c>
      <c r="M817" s="2">
        <f t="shared" si="12"/>
        <v>40448.988000000005</v>
      </c>
      <c r="N817" s="2" t="str">
        <f>IF(Tabla1[[#This Row],[Aprobación_Veterinaria]]=1,"APROBADO","NO APROBADO")</f>
        <v>APROBADO</v>
      </c>
      <c r="O817" t="str">
        <f>IF(Tabla1[[#This Row],[Repite compra?]]=1,"REPITE","NO REPITE")</f>
        <v>REPITE</v>
      </c>
      <c r="P817" t="str">
        <f>IF(Tabla1[[#This Row],[rating_segun encuesta a Consumidor]]&lt;5,"Regular",IF(Tabla1[[#This Row],[rating_segun encuesta a Consumidor]]&gt;8,"Excelente","Bueno"))</f>
        <v>Bueno</v>
      </c>
    </row>
    <row r="818" spans="1:16" x14ac:dyDescent="0.35">
      <c r="A818" s="1">
        <v>43979</v>
      </c>
      <c r="B818">
        <v>4816</v>
      </c>
      <c r="C818" t="s">
        <v>26</v>
      </c>
      <c r="D818">
        <v>189</v>
      </c>
      <c r="E818">
        <v>65.448000000000008</v>
      </c>
      <c r="F818">
        <v>0</v>
      </c>
      <c r="G818" t="s">
        <v>34</v>
      </c>
      <c r="H818" t="s">
        <v>48</v>
      </c>
      <c r="I818" t="s">
        <v>18</v>
      </c>
      <c r="J818" t="s">
        <v>29</v>
      </c>
      <c r="K818">
        <v>2</v>
      </c>
      <c r="L818">
        <v>1</v>
      </c>
      <c r="M818" s="2">
        <f t="shared" si="12"/>
        <v>12369.672000000002</v>
      </c>
      <c r="N818" s="2" t="str">
        <f>IF(Tabla1[[#This Row],[Aprobación_Veterinaria]]=1,"APROBADO","NO APROBADO")</f>
        <v>NO APROBADO</v>
      </c>
      <c r="O818" t="str">
        <f>IF(Tabla1[[#This Row],[Repite compra?]]=1,"REPITE","NO REPITE")</f>
        <v>REPITE</v>
      </c>
      <c r="P818" t="str">
        <f>IF(Tabla1[[#This Row],[rating_segun encuesta a Consumidor]]&lt;5,"Regular",IF(Tabla1[[#This Row],[rating_segun encuesta a Consumidor]]&gt;8,"Excelente","Bueno"))</f>
        <v>Regular</v>
      </c>
    </row>
    <row r="819" spans="1:16" x14ac:dyDescent="0.35">
      <c r="A819" s="1">
        <v>43899</v>
      </c>
      <c r="B819">
        <v>4736</v>
      </c>
      <c r="C819" t="s">
        <v>30</v>
      </c>
      <c r="D819">
        <v>131</v>
      </c>
      <c r="E819">
        <v>144.16800000000001</v>
      </c>
      <c r="F819">
        <v>1</v>
      </c>
      <c r="G819" t="s">
        <v>36</v>
      </c>
      <c r="H819" t="s">
        <v>48</v>
      </c>
      <c r="I819" t="s">
        <v>18</v>
      </c>
      <c r="J819" t="s">
        <v>29</v>
      </c>
      <c r="K819">
        <v>7</v>
      </c>
      <c r="L819">
        <v>1</v>
      </c>
      <c r="M819" s="2">
        <f t="shared" si="12"/>
        <v>18886.008000000002</v>
      </c>
      <c r="N819" s="2" t="str">
        <f>IF(Tabla1[[#This Row],[Aprobación_Veterinaria]]=1,"APROBADO","NO APROBADO")</f>
        <v>APROBADO</v>
      </c>
      <c r="O819" t="str">
        <f>IF(Tabla1[[#This Row],[Repite compra?]]=1,"REPITE","NO REPITE")</f>
        <v>REPITE</v>
      </c>
      <c r="P819" t="str">
        <f>IF(Tabla1[[#This Row],[rating_segun encuesta a Consumidor]]&lt;5,"Regular",IF(Tabla1[[#This Row],[rating_segun encuesta a Consumidor]]&gt;8,"Excelente","Bueno"))</f>
        <v>Bueno</v>
      </c>
    </row>
    <row r="820" spans="1:16" x14ac:dyDescent="0.35">
      <c r="A820" s="1">
        <v>43839</v>
      </c>
      <c r="B820">
        <v>4920</v>
      </c>
      <c r="C820" t="s">
        <v>15</v>
      </c>
      <c r="D820">
        <v>89</v>
      </c>
      <c r="E820">
        <v>11.592000000000001</v>
      </c>
      <c r="F820">
        <v>0</v>
      </c>
      <c r="G820" t="s">
        <v>37</v>
      </c>
      <c r="H820" t="s">
        <v>44</v>
      </c>
      <c r="I820" t="s">
        <v>18</v>
      </c>
      <c r="J820" t="s">
        <v>29</v>
      </c>
      <c r="K820">
        <v>6</v>
      </c>
      <c r="L820">
        <v>0</v>
      </c>
      <c r="M820" s="2">
        <f t="shared" si="12"/>
        <v>1031.6880000000001</v>
      </c>
      <c r="N820" s="2" t="str">
        <f>IF(Tabla1[[#This Row],[Aprobación_Veterinaria]]=1,"APROBADO","NO APROBADO")</f>
        <v>NO APROBADO</v>
      </c>
      <c r="O820" t="str">
        <f>IF(Tabla1[[#This Row],[Repite compra?]]=1,"REPITE","NO REPITE")</f>
        <v>NO REPITE</v>
      </c>
      <c r="P820" t="str">
        <f>IF(Tabla1[[#This Row],[rating_segun encuesta a Consumidor]]&lt;5,"Regular",IF(Tabla1[[#This Row],[rating_segun encuesta a Consumidor]]&gt;8,"Excelente","Bueno"))</f>
        <v>Bueno</v>
      </c>
    </row>
    <row r="821" spans="1:16" x14ac:dyDescent="0.35">
      <c r="A821" s="1">
        <v>43882</v>
      </c>
      <c r="B821">
        <v>4666</v>
      </c>
      <c r="C821" t="s">
        <v>20</v>
      </c>
      <c r="D821">
        <v>41</v>
      </c>
      <c r="E821">
        <v>54.012</v>
      </c>
      <c r="F821">
        <v>1</v>
      </c>
      <c r="G821" t="s">
        <v>40</v>
      </c>
      <c r="H821" t="s">
        <v>22</v>
      </c>
      <c r="I821" t="s">
        <v>45</v>
      </c>
      <c r="J821" t="s">
        <v>29</v>
      </c>
      <c r="K821">
        <v>10</v>
      </c>
      <c r="L821">
        <v>0</v>
      </c>
      <c r="M821" s="2">
        <f t="shared" si="12"/>
        <v>2214.4920000000002</v>
      </c>
      <c r="N821" s="2" t="str">
        <f>IF(Tabla1[[#This Row],[Aprobación_Veterinaria]]=1,"APROBADO","NO APROBADO")</f>
        <v>APROBADO</v>
      </c>
      <c r="O821" t="str">
        <f>IF(Tabla1[[#This Row],[Repite compra?]]=1,"REPITE","NO REPITE")</f>
        <v>NO REPITE</v>
      </c>
      <c r="P821" t="str">
        <f>IF(Tabla1[[#This Row],[rating_segun encuesta a Consumidor]]&lt;5,"Regular",IF(Tabla1[[#This Row],[rating_segun encuesta a Consumidor]]&gt;8,"Excelente","Bueno"))</f>
        <v>Excelente</v>
      </c>
    </row>
    <row r="822" spans="1:16" x14ac:dyDescent="0.35">
      <c r="A822" s="1">
        <v>44110</v>
      </c>
      <c r="B822">
        <v>4186</v>
      </c>
      <c r="C822" t="s">
        <v>47</v>
      </c>
      <c r="D822">
        <v>144</v>
      </c>
      <c r="E822">
        <v>82.284000000000006</v>
      </c>
      <c r="F822">
        <v>0</v>
      </c>
      <c r="G822" t="s">
        <v>16</v>
      </c>
      <c r="H822" t="s">
        <v>22</v>
      </c>
      <c r="I822" t="s">
        <v>45</v>
      </c>
      <c r="J822" t="s">
        <v>53</v>
      </c>
      <c r="K822">
        <v>5</v>
      </c>
      <c r="L822">
        <v>1</v>
      </c>
      <c r="M822" s="2">
        <f t="shared" si="12"/>
        <v>11848.896000000001</v>
      </c>
      <c r="N822" s="2" t="str">
        <f>IF(Tabla1[[#This Row],[Aprobación_Veterinaria]]=1,"APROBADO","NO APROBADO")</f>
        <v>NO APROBADO</v>
      </c>
      <c r="O822" t="str">
        <f>IF(Tabla1[[#This Row],[Repite compra?]]=1,"REPITE","NO REPITE")</f>
        <v>REPITE</v>
      </c>
      <c r="P822" t="str">
        <f>IF(Tabla1[[#This Row],[rating_segun encuesta a Consumidor]]&lt;5,"Regular",IF(Tabla1[[#This Row],[rating_segun encuesta a Consumidor]]&gt;8,"Excelente","Bueno"))</f>
        <v>Bueno</v>
      </c>
    </row>
    <row r="823" spans="1:16" x14ac:dyDescent="0.35">
      <c r="A823" s="1">
        <v>43838</v>
      </c>
      <c r="B823">
        <v>4352</v>
      </c>
      <c r="C823" t="s">
        <v>43</v>
      </c>
      <c r="D823">
        <v>192</v>
      </c>
      <c r="E823">
        <v>41.076000000000001</v>
      </c>
      <c r="F823">
        <v>0</v>
      </c>
      <c r="G823" t="s">
        <v>21</v>
      </c>
      <c r="H823" t="s">
        <v>22</v>
      </c>
      <c r="I823" t="s">
        <v>18</v>
      </c>
      <c r="J823" t="s">
        <v>29</v>
      </c>
      <c r="K823">
        <v>8</v>
      </c>
      <c r="L823">
        <v>0</v>
      </c>
      <c r="M823" s="2">
        <f t="shared" si="12"/>
        <v>7886.5920000000006</v>
      </c>
      <c r="N823" s="2" t="str">
        <f>IF(Tabla1[[#This Row],[Aprobación_Veterinaria]]=1,"APROBADO","NO APROBADO")</f>
        <v>NO APROBADO</v>
      </c>
      <c r="O823" t="str">
        <f>IF(Tabla1[[#This Row],[Repite compra?]]=1,"REPITE","NO REPITE")</f>
        <v>NO REPITE</v>
      </c>
      <c r="P823" t="str">
        <f>IF(Tabla1[[#This Row],[rating_segun encuesta a Consumidor]]&lt;5,"Regular",IF(Tabla1[[#This Row],[rating_segun encuesta a Consumidor]]&gt;8,"Excelente","Bueno"))</f>
        <v>Bueno</v>
      </c>
    </row>
    <row r="824" spans="1:16" x14ac:dyDescent="0.35">
      <c r="A824" s="1">
        <v>43930</v>
      </c>
      <c r="B824">
        <v>4973</v>
      </c>
      <c r="C824" t="s">
        <v>20</v>
      </c>
      <c r="D824">
        <v>196</v>
      </c>
      <c r="E824">
        <v>111.012</v>
      </c>
      <c r="F824">
        <v>1</v>
      </c>
      <c r="G824" t="s">
        <v>24</v>
      </c>
      <c r="H824" t="s">
        <v>50</v>
      </c>
      <c r="I824" t="s">
        <v>41</v>
      </c>
      <c r="J824" t="s">
        <v>49</v>
      </c>
      <c r="K824">
        <v>6</v>
      </c>
      <c r="L824">
        <v>0</v>
      </c>
      <c r="M824" s="2">
        <f t="shared" si="12"/>
        <v>21758.351999999999</v>
      </c>
      <c r="N824" s="2" t="str">
        <f>IF(Tabla1[[#This Row],[Aprobación_Veterinaria]]=1,"APROBADO","NO APROBADO")</f>
        <v>APROBADO</v>
      </c>
      <c r="O824" t="str">
        <f>IF(Tabla1[[#This Row],[Repite compra?]]=1,"REPITE","NO REPITE")</f>
        <v>NO REPITE</v>
      </c>
      <c r="P824" t="str">
        <f>IF(Tabla1[[#This Row],[rating_segun encuesta a Consumidor]]&lt;5,"Regular",IF(Tabla1[[#This Row],[rating_segun encuesta a Consumidor]]&gt;8,"Excelente","Bueno"))</f>
        <v>Bueno</v>
      </c>
    </row>
    <row r="825" spans="1:16" x14ac:dyDescent="0.35">
      <c r="A825" s="1">
        <v>43838</v>
      </c>
      <c r="B825">
        <v>4912</v>
      </c>
      <c r="C825" t="s">
        <v>26</v>
      </c>
      <c r="D825">
        <v>177</v>
      </c>
      <c r="E825">
        <v>142.04400000000001</v>
      </c>
      <c r="F825">
        <v>0</v>
      </c>
      <c r="G825" t="s">
        <v>27</v>
      </c>
      <c r="H825" t="s">
        <v>38</v>
      </c>
      <c r="I825" t="s">
        <v>18</v>
      </c>
      <c r="J825" t="s">
        <v>29</v>
      </c>
      <c r="K825">
        <v>6</v>
      </c>
      <c r="L825">
        <v>0</v>
      </c>
      <c r="M825" s="2">
        <f t="shared" si="12"/>
        <v>25141.788</v>
      </c>
      <c r="N825" s="2" t="str">
        <f>IF(Tabla1[[#This Row],[Aprobación_Veterinaria]]=1,"APROBADO","NO APROBADO")</f>
        <v>NO APROBADO</v>
      </c>
      <c r="O825" t="str">
        <f>IF(Tabla1[[#This Row],[Repite compra?]]=1,"REPITE","NO REPITE")</f>
        <v>NO REPITE</v>
      </c>
      <c r="P825" t="str">
        <f>IF(Tabla1[[#This Row],[rating_segun encuesta a Consumidor]]&lt;5,"Regular",IF(Tabla1[[#This Row],[rating_segun encuesta a Consumidor]]&gt;8,"Excelente","Bueno"))</f>
        <v>Bueno</v>
      </c>
    </row>
    <row r="826" spans="1:16" x14ac:dyDescent="0.35">
      <c r="A826" s="1">
        <v>43972</v>
      </c>
      <c r="B826">
        <v>4957</v>
      </c>
      <c r="C826" t="s">
        <v>26</v>
      </c>
      <c r="D826">
        <v>35</v>
      </c>
      <c r="E826">
        <v>112.992</v>
      </c>
      <c r="F826">
        <v>1</v>
      </c>
      <c r="G826" t="s">
        <v>31</v>
      </c>
      <c r="H826" t="s">
        <v>38</v>
      </c>
      <c r="I826" t="s">
        <v>41</v>
      </c>
      <c r="J826" t="s">
        <v>23</v>
      </c>
      <c r="K826">
        <v>6</v>
      </c>
      <c r="L826">
        <v>0</v>
      </c>
      <c r="M826" s="2">
        <f t="shared" si="12"/>
        <v>3954.7200000000003</v>
      </c>
      <c r="N826" s="2" t="str">
        <f>IF(Tabla1[[#This Row],[Aprobación_Veterinaria]]=1,"APROBADO","NO APROBADO")</f>
        <v>APROBADO</v>
      </c>
      <c r="O826" t="str">
        <f>IF(Tabla1[[#This Row],[Repite compra?]]=1,"REPITE","NO REPITE")</f>
        <v>NO REPITE</v>
      </c>
      <c r="P826" t="str">
        <f>IF(Tabla1[[#This Row],[rating_segun encuesta a Consumidor]]&lt;5,"Regular",IF(Tabla1[[#This Row],[rating_segun encuesta a Consumidor]]&gt;8,"Excelente","Bueno"))</f>
        <v>Bueno</v>
      </c>
    </row>
    <row r="827" spans="1:16" x14ac:dyDescent="0.35">
      <c r="A827" s="1">
        <v>44030</v>
      </c>
      <c r="B827">
        <v>4925</v>
      </c>
      <c r="C827" t="s">
        <v>20</v>
      </c>
      <c r="D827">
        <v>189</v>
      </c>
      <c r="E827">
        <v>27.936</v>
      </c>
      <c r="F827">
        <v>0</v>
      </c>
      <c r="G827" t="s">
        <v>33</v>
      </c>
      <c r="H827" t="s">
        <v>44</v>
      </c>
      <c r="I827" t="s">
        <v>41</v>
      </c>
      <c r="J827" t="s">
        <v>23</v>
      </c>
      <c r="K827">
        <v>6</v>
      </c>
      <c r="L827">
        <v>0</v>
      </c>
      <c r="M827" s="2">
        <f t="shared" si="12"/>
        <v>5279.9039999999995</v>
      </c>
      <c r="N827" s="2" t="str">
        <f>IF(Tabla1[[#This Row],[Aprobación_Veterinaria]]=1,"APROBADO","NO APROBADO")</f>
        <v>NO APROBADO</v>
      </c>
      <c r="O827" t="str">
        <f>IF(Tabla1[[#This Row],[Repite compra?]]=1,"REPITE","NO REPITE")</f>
        <v>NO REPITE</v>
      </c>
      <c r="P827" t="str">
        <f>IF(Tabla1[[#This Row],[rating_segun encuesta a Consumidor]]&lt;5,"Regular",IF(Tabla1[[#This Row],[rating_segun encuesta a Consumidor]]&gt;8,"Excelente","Bueno"))</f>
        <v>Bueno</v>
      </c>
    </row>
    <row r="828" spans="1:16" x14ac:dyDescent="0.35">
      <c r="A828" s="1">
        <v>44108</v>
      </c>
      <c r="B828">
        <v>4425</v>
      </c>
      <c r="C828" t="s">
        <v>39</v>
      </c>
      <c r="D828">
        <v>105</v>
      </c>
      <c r="E828">
        <v>129</v>
      </c>
      <c r="F828">
        <v>0</v>
      </c>
      <c r="G828" t="s">
        <v>34</v>
      </c>
      <c r="H828" t="s">
        <v>22</v>
      </c>
      <c r="I828" t="s">
        <v>35</v>
      </c>
      <c r="J828" t="s">
        <v>23</v>
      </c>
      <c r="K828">
        <v>3</v>
      </c>
      <c r="L828">
        <v>1</v>
      </c>
      <c r="M828" s="2">
        <f t="shared" si="12"/>
        <v>13545</v>
      </c>
      <c r="N828" s="2" t="str">
        <f>IF(Tabla1[[#This Row],[Aprobación_Veterinaria]]=1,"APROBADO","NO APROBADO")</f>
        <v>NO APROBADO</v>
      </c>
      <c r="O828" t="str">
        <f>IF(Tabla1[[#This Row],[Repite compra?]]=1,"REPITE","NO REPITE")</f>
        <v>REPITE</v>
      </c>
      <c r="P828" t="str">
        <f>IF(Tabla1[[#This Row],[rating_segun encuesta a Consumidor]]&lt;5,"Regular",IF(Tabla1[[#This Row],[rating_segun encuesta a Consumidor]]&gt;8,"Excelente","Bueno"))</f>
        <v>Regular</v>
      </c>
    </row>
    <row r="829" spans="1:16" x14ac:dyDescent="0.35">
      <c r="A829" s="1">
        <v>43880</v>
      </c>
      <c r="B829">
        <v>4440</v>
      </c>
      <c r="C829" t="s">
        <v>43</v>
      </c>
      <c r="D829">
        <v>81</v>
      </c>
      <c r="E829">
        <v>64.739999999999995</v>
      </c>
      <c r="F829">
        <v>1</v>
      </c>
      <c r="G829" t="s">
        <v>36</v>
      </c>
      <c r="H829" t="s">
        <v>22</v>
      </c>
      <c r="I829" t="s">
        <v>35</v>
      </c>
      <c r="J829" t="s">
        <v>29</v>
      </c>
      <c r="K829">
        <v>6</v>
      </c>
      <c r="L829">
        <v>0</v>
      </c>
      <c r="M829" s="2">
        <f t="shared" si="12"/>
        <v>5243.94</v>
      </c>
      <c r="N829" s="2" t="str">
        <f>IF(Tabla1[[#This Row],[Aprobación_Veterinaria]]=1,"APROBADO","NO APROBADO")</f>
        <v>APROBADO</v>
      </c>
      <c r="O829" t="str">
        <f>IF(Tabla1[[#This Row],[Repite compra?]]=1,"REPITE","NO REPITE")</f>
        <v>NO REPITE</v>
      </c>
      <c r="P829" t="str">
        <f>IF(Tabla1[[#This Row],[rating_segun encuesta a Consumidor]]&lt;5,"Regular",IF(Tabla1[[#This Row],[rating_segun encuesta a Consumidor]]&gt;8,"Excelente","Bueno"))</f>
        <v>Bueno</v>
      </c>
    </row>
    <row r="830" spans="1:16" x14ac:dyDescent="0.35">
      <c r="A830" s="1">
        <v>43867</v>
      </c>
      <c r="B830">
        <v>4948</v>
      </c>
      <c r="C830" t="s">
        <v>26</v>
      </c>
      <c r="D830">
        <v>221</v>
      </c>
      <c r="E830">
        <v>87</v>
      </c>
      <c r="F830">
        <v>1</v>
      </c>
      <c r="G830" t="s">
        <v>37</v>
      </c>
      <c r="H830" t="s">
        <v>50</v>
      </c>
      <c r="I830" t="s">
        <v>18</v>
      </c>
      <c r="J830" t="s">
        <v>29</v>
      </c>
      <c r="K830">
        <v>6</v>
      </c>
      <c r="L830">
        <v>0</v>
      </c>
      <c r="M830" s="2">
        <f t="shared" si="12"/>
        <v>19227</v>
      </c>
      <c r="N830" s="2" t="str">
        <f>IF(Tabla1[[#This Row],[Aprobación_Veterinaria]]=1,"APROBADO","NO APROBADO")</f>
        <v>APROBADO</v>
      </c>
      <c r="O830" t="str">
        <f>IF(Tabla1[[#This Row],[Repite compra?]]=1,"REPITE","NO REPITE")</f>
        <v>NO REPITE</v>
      </c>
      <c r="P830" t="str">
        <f>IF(Tabla1[[#This Row],[rating_segun encuesta a Consumidor]]&lt;5,"Regular",IF(Tabla1[[#This Row],[rating_segun encuesta a Consumidor]]&gt;8,"Excelente","Bueno"))</f>
        <v>Bueno</v>
      </c>
    </row>
    <row r="831" spans="1:16" x14ac:dyDescent="0.35">
      <c r="A831" s="1">
        <v>44139</v>
      </c>
      <c r="B831">
        <v>4739</v>
      </c>
      <c r="C831" t="s">
        <v>30</v>
      </c>
      <c r="D831">
        <v>75</v>
      </c>
      <c r="E831">
        <v>25.536000000000001</v>
      </c>
      <c r="F831">
        <v>0</v>
      </c>
      <c r="G831" t="s">
        <v>40</v>
      </c>
      <c r="H831" t="s">
        <v>54</v>
      </c>
      <c r="I831" t="s">
        <v>41</v>
      </c>
      <c r="J831" t="s">
        <v>23</v>
      </c>
      <c r="K831">
        <v>7</v>
      </c>
      <c r="L831">
        <v>0</v>
      </c>
      <c r="M831" s="2">
        <f t="shared" si="12"/>
        <v>1915.2</v>
      </c>
      <c r="N831" s="2" t="str">
        <f>IF(Tabla1[[#This Row],[Aprobación_Veterinaria]]=1,"APROBADO","NO APROBADO")</f>
        <v>NO APROBADO</v>
      </c>
      <c r="O831" t="str">
        <f>IF(Tabla1[[#This Row],[Repite compra?]]=1,"REPITE","NO REPITE")</f>
        <v>NO REPITE</v>
      </c>
      <c r="P831" t="str">
        <f>IF(Tabla1[[#This Row],[rating_segun encuesta a Consumidor]]&lt;5,"Regular",IF(Tabla1[[#This Row],[rating_segun encuesta a Consumidor]]&gt;8,"Excelente","Bueno"))</f>
        <v>Bueno</v>
      </c>
    </row>
    <row r="832" spans="1:16" x14ac:dyDescent="0.35">
      <c r="A832" s="1">
        <v>44098</v>
      </c>
      <c r="B832">
        <v>4297</v>
      </c>
      <c r="C832" t="s">
        <v>43</v>
      </c>
      <c r="D832">
        <v>80</v>
      </c>
      <c r="E832">
        <v>166.84800000000001</v>
      </c>
      <c r="F832">
        <v>0</v>
      </c>
      <c r="G832" t="s">
        <v>16</v>
      </c>
      <c r="H832" t="s">
        <v>22</v>
      </c>
      <c r="I832" t="s">
        <v>18</v>
      </c>
      <c r="J832" t="s">
        <v>25</v>
      </c>
      <c r="K832">
        <v>5</v>
      </c>
      <c r="L832">
        <v>0</v>
      </c>
      <c r="M832" s="2">
        <f t="shared" si="12"/>
        <v>13347.84</v>
      </c>
      <c r="N832" s="2" t="str">
        <f>IF(Tabla1[[#This Row],[Aprobación_Veterinaria]]=1,"APROBADO","NO APROBADO")</f>
        <v>NO APROBADO</v>
      </c>
      <c r="O832" t="str">
        <f>IF(Tabla1[[#This Row],[Repite compra?]]=1,"REPITE","NO REPITE")</f>
        <v>NO REPITE</v>
      </c>
      <c r="P832" t="str">
        <f>IF(Tabla1[[#This Row],[rating_segun encuesta a Consumidor]]&lt;5,"Regular",IF(Tabla1[[#This Row],[rating_segun encuesta a Consumidor]]&gt;8,"Excelente","Bueno"))</f>
        <v>Bueno</v>
      </c>
    </row>
    <row r="833" spans="1:16" x14ac:dyDescent="0.35">
      <c r="A833" s="1">
        <v>43893</v>
      </c>
      <c r="B833">
        <v>4430</v>
      </c>
      <c r="C833" t="s">
        <v>26</v>
      </c>
      <c r="D833">
        <v>229</v>
      </c>
      <c r="E833">
        <v>61.295999999999999</v>
      </c>
      <c r="F833">
        <v>0</v>
      </c>
      <c r="G833" t="s">
        <v>21</v>
      </c>
      <c r="H833" t="s">
        <v>22</v>
      </c>
      <c r="I833" t="s">
        <v>35</v>
      </c>
      <c r="J833" t="s">
        <v>29</v>
      </c>
      <c r="K833">
        <v>6</v>
      </c>
      <c r="L833">
        <v>1</v>
      </c>
      <c r="M833" s="2">
        <f t="shared" si="12"/>
        <v>14036.784</v>
      </c>
      <c r="N833" s="2" t="str">
        <f>IF(Tabla1[[#This Row],[Aprobación_Veterinaria]]=1,"APROBADO","NO APROBADO")</f>
        <v>NO APROBADO</v>
      </c>
      <c r="O833" t="str">
        <f>IF(Tabla1[[#This Row],[Repite compra?]]=1,"REPITE","NO REPITE")</f>
        <v>REPITE</v>
      </c>
      <c r="P833" t="str">
        <f>IF(Tabla1[[#This Row],[rating_segun encuesta a Consumidor]]&lt;5,"Regular",IF(Tabla1[[#This Row],[rating_segun encuesta a Consumidor]]&gt;8,"Excelente","Bueno"))</f>
        <v>Bueno</v>
      </c>
    </row>
    <row r="834" spans="1:16" x14ac:dyDescent="0.35">
      <c r="A834" s="1">
        <v>43972</v>
      </c>
      <c r="B834">
        <v>4901</v>
      </c>
      <c r="C834" t="s">
        <v>20</v>
      </c>
      <c r="D834">
        <v>46</v>
      </c>
      <c r="E834">
        <v>108.54</v>
      </c>
      <c r="F834">
        <v>1</v>
      </c>
      <c r="G834" t="s">
        <v>24</v>
      </c>
      <c r="H834" t="s">
        <v>48</v>
      </c>
      <c r="I834" t="s">
        <v>41</v>
      </c>
      <c r="J834" t="s">
        <v>23</v>
      </c>
      <c r="K834">
        <v>6</v>
      </c>
      <c r="L834">
        <v>0</v>
      </c>
      <c r="M834" s="2">
        <f t="shared" ref="M834:M880" si="13">D834*E834</f>
        <v>4992.84</v>
      </c>
      <c r="N834" s="2" t="str">
        <f>IF(Tabla1[[#This Row],[Aprobación_Veterinaria]]=1,"APROBADO","NO APROBADO")</f>
        <v>APROBADO</v>
      </c>
      <c r="O834" t="str">
        <f>IF(Tabla1[[#This Row],[Repite compra?]]=1,"REPITE","NO REPITE")</f>
        <v>NO REPITE</v>
      </c>
      <c r="P834" t="str">
        <f>IF(Tabla1[[#This Row],[rating_segun encuesta a Consumidor]]&lt;5,"Regular",IF(Tabla1[[#This Row],[rating_segun encuesta a Consumidor]]&gt;8,"Excelente","Bueno"))</f>
        <v>Bueno</v>
      </c>
    </row>
    <row r="835" spans="1:16" x14ac:dyDescent="0.35">
      <c r="A835" s="1">
        <v>44146</v>
      </c>
      <c r="B835">
        <v>4701</v>
      </c>
      <c r="C835" t="s">
        <v>43</v>
      </c>
      <c r="D835">
        <v>14</v>
      </c>
      <c r="E835">
        <v>130.09200000000001</v>
      </c>
      <c r="F835">
        <v>1</v>
      </c>
      <c r="G835" t="s">
        <v>27</v>
      </c>
      <c r="H835" t="s">
        <v>48</v>
      </c>
      <c r="I835" t="s">
        <v>45</v>
      </c>
      <c r="J835" t="s">
        <v>23</v>
      </c>
      <c r="K835">
        <v>10</v>
      </c>
      <c r="L835">
        <v>1</v>
      </c>
      <c r="M835" s="2">
        <f t="shared" si="13"/>
        <v>1821.2880000000002</v>
      </c>
      <c r="N835" s="2" t="str">
        <f>IF(Tabla1[[#This Row],[Aprobación_Veterinaria]]=1,"APROBADO","NO APROBADO")</f>
        <v>APROBADO</v>
      </c>
      <c r="O835" t="str">
        <f>IF(Tabla1[[#This Row],[Repite compra?]]=1,"REPITE","NO REPITE")</f>
        <v>REPITE</v>
      </c>
      <c r="P835" t="str">
        <f>IF(Tabla1[[#This Row],[rating_segun encuesta a Consumidor]]&lt;5,"Regular",IF(Tabla1[[#This Row],[rating_segun encuesta a Consumidor]]&gt;8,"Excelente","Bueno"))</f>
        <v>Excelente</v>
      </c>
    </row>
    <row r="836" spans="1:16" x14ac:dyDescent="0.35">
      <c r="A836" s="1">
        <v>44110</v>
      </c>
      <c r="B836">
        <v>4250</v>
      </c>
      <c r="C836" t="s">
        <v>30</v>
      </c>
      <c r="D836">
        <v>68</v>
      </c>
      <c r="E836">
        <v>120.13200000000001</v>
      </c>
      <c r="F836">
        <v>1</v>
      </c>
      <c r="G836" t="s">
        <v>31</v>
      </c>
      <c r="H836" t="s">
        <v>22</v>
      </c>
      <c r="I836" t="s">
        <v>35</v>
      </c>
      <c r="J836" t="s">
        <v>29</v>
      </c>
      <c r="K836">
        <v>2</v>
      </c>
      <c r="L836">
        <v>1</v>
      </c>
      <c r="M836" s="2">
        <f t="shared" si="13"/>
        <v>8168.9760000000006</v>
      </c>
      <c r="N836" s="2" t="str">
        <f>IF(Tabla1[[#This Row],[Aprobación_Veterinaria]]=1,"APROBADO","NO APROBADO")</f>
        <v>APROBADO</v>
      </c>
      <c r="O836" t="str">
        <f>IF(Tabla1[[#This Row],[Repite compra?]]=1,"REPITE","NO REPITE")</f>
        <v>REPITE</v>
      </c>
      <c r="P836" t="str">
        <f>IF(Tabla1[[#This Row],[rating_segun encuesta a Consumidor]]&lt;5,"Regular",IF(Tabla1[[#This Row],[rating_segun encuesta a Consumidor]]&gt;8,"Excelente","Bueno"))</f>
        <v>Regular</v>
      </c>
    </row>
    <row r="837" spans="1:16" x14ac:dyDescent="0.35">
      <c r="A837" s="1">
        <v>43947</v>
      </c>
      <c r="B837">
        <v>4205</v>
      </c>
      <c r="C837" t="s">
        <v>39</v>
      </c>
      <c r="D837">
        <v>156</v>
      </c>
      <c r="E837">
        <v>11.124000000000001</v>
      </c>
      <c r="F837">
        <v>0</v>
      </c>
      <c r="G837" t="s">
        <v>33</v>
      </c>
      <c r="H837" t="s">
        <v>22</v>
      </c>
      <c r="I837" t="s">
        <v>35</v>
      </c>
      <c r="J837" t="s">
        <v>19</v>
      </c>
      <c r="K837">
        <v>1</v>
      </c>
      <c r="L837">
        <v>0</v>
      </c>
      <c r="M837" s="2">
        <f t="shared" si="13"/>
        <v>1735.3440000000001</v>
      </c>
      <c r="N837" s="2" t="str">
        <f>IF(Tabla1[[#This Row],[Aprobación_Veterinaria]]=1,"APROBADO","NO APROBADO")</f>
        <v>NO APROBADO</v>
      </c>
      <c r="O837" t="str">
        <f>IF(Tabla1[[#This Row],[Repite compra?]]=1,"REPITE","NO REPITE")</f>
        <v>NO REPITE</v>
      </c>
      <c r="P837" t="str">
        <f>IF(Tabla1[[#This Row],[rating_segun encuesta a Consumidor]]&lt;5,"Regular",IF(Tabla1[[#This Row],[rating_segun encuesta a Consumidor]]&gt;8,"Excelente","Bueno"))</f>
        <v>Regular</v>
      </c>
    </row>
    <row r="838" spans="1:16" x14ac:dyDescent="0.35">
      <c r="A838" s="1">
        <v>43841</v>
      </c>
      <c r="B838">
        <v>4747</v>
      </c>
      <c r="C838" t="s">
        <v>39</v>
      </c>
      <c r="D838">
        <v>102</v>
      </c>
      <c r="E838">
        <v>88.236000000000004</v>
      </c>
      <c r="F838">
        <v>0</v>
      </c>
      <c r="G838" t="s">
        <v>34</v>
      </c>
      <c r="H838" t="s">
        <v>38</v>
      </c>
      <c r="I838" t="s">
        <v>41</v>
      </c>
      <c r="J838" t="s">
        <v>23</v>
      </c>
      <c r="K838">
        <v>7</v>
      </c>
      <c r="L838">
        <v>1</v>
      </c>
      <c r="M838" s="2">
        <f t="shared" si="13"/>
        <v>9000.0720000000001</v>
      </c>
      <c r="N838" s="2" t="str">
        <f>IF(Tabla1[[#This Row],[Aprobación_Veterinaria]]=1,"APROBADO","NO APROBADO")</f>
        <v>NO APROBADO</v>
      </c>
      <c r="O838" t="str">
        <f>IF(Tabla1[[#This Row],[Repite compra?]]=1,"REPITE","NO REPITE")</f>
        <v>REPITE</v>
      </c>
      <c r="P838" t="str">
        <f>IF(Tabla1[[#This Row],[rating_segun encuesta a Consumidor]]&lt;5,"Regular",IF(Tabla1[[#This Row],[rating_segun encuesta a Consumidor]]&gt;8,"Excelente","Bueno"))</f>
        <v>Bueno</v>
      </c>
    </row>
    <row r="839" spans="1:16" x14ac:dyDescent="0.35">
      <c r="A839" s="1">
        <v>44089</v>
      </c>
      <c r="B839">
        <v>4487</v>
      </c>
      <c r="C839" t="s">
        <v>46</v>
      </c>
      <c r="D839">
        <v>38</v>
      </c>
      <c r="E839">
        <v>219.684</v>
      </c>
      <c r="F839">
        <v>0</v>
      </c>
      <c r="G839" t="s">
        <v>36</v>
      </c>
      <c r="H839" t="s">
        <v>22</v>
      </c>
      <c r="I839" t="s">
        <v>18</v>
      </c>
      <c r="J839" t="s">
        <v>23</v>
      </c>
      <c r="K839">
        <v>4</v>
      </c>
      <c r="L839">
        <v>0</v>
      </c>
      <c r="M839" s="2">
        <f t="shared" si="13"/>
        <v>8347.9920000000002</v>
      </c>
      <c r="N839" s="2" t="str">
        <f>IF(Tabla1[[#This Row],[Aprobación_Veterinaria]]=1,"APROBADO","NO APROBADO")</f>
        <v>NO APROBADO</v>
      </c>
      <c r="O839" t="str">
        <f>IF(Tabla1[[#This Row],[Repite compra?]]=1,"REPITE","NO REPITE")</f>
        <v>NO REPITE</v>
      </c>
      <c r="P839" t="str">
        <f>IF(Tabla1[[#This Row],[rating_segun encuesta a Consumidor]]&lt;5,"Regular",IF(Tabla1[[#This Row],[rating_segun encuesta a Consumidor]]&gt;8,"Excelente","Bueno"))</f>
        <v>Regular</v>
      </c>
    </row>
    <row r="840" spans="1:16" x14ac:dyDescent="0.35">
      <c r="A840" s="1">
        <v>44113</v>
      </c>
      <c r="B840">
        <v>4579</v>
      </c>
      <c r="C840" t="s">
        <v>39</v>
      </c>
      <c r="D840">
        <v>205</v>
      </c>
      <c r="E840">
        <v>175.69200000000001</v>
      </c>
      <c r="F840">
        <v>1</v>
      </c>
      <c r="G840" t="s">
        <v>37</v>
      </c>
      <c r="H840" t="s">
        <v>22</v>
      </c>
      <c r="I840" t="s">
        <v>28</v>
      </c>
      <c r="J840" t="s">
        <v>23</v>
      </c>
      <c r="K840">
        <v>10</v>
      </c>
      <c r="L840">
        <v>0</v>
      </c>
      <c r="M840" s="2">
        <f t="shared" si="13"/>
        <v>36016.86</v>
      </c>
      <c r="N840" s="2" t="str">
        <f>IF(Tabla1[[#This Row],[Aprobación_Veterinaria]]=1,"APROBADO","NO APROBADO")</f>
        <v>APROBADO</v>
      </c>
      <c r="O840" t="str">
        <f>IF(Tabla1[[#This Row],[Repite compra?]]=1,"REPITE","NO REPITE")</f>
        <v>NO REPITE</v>
      </c>
      <c r="P840" t="str">
        <f>IF(Tabla1[[#This Row],[rating_segun encuesta a Consumidor]]&lt;5,"Regular",IF(Tabla1[[#This Row],[rating_segun encuesta a Consumidor]]&gt;8,"Excelente","Bueno"))</f>
        <v>Excelente</v>
      </c>
    </row>
    <row r="841" spans="1:16" x14ac:dyDescent="0.35">
      <c r="A841" s="1">
        <v>44119</v>
      </c>
      <c r="B841">
        <v>4397</v>
      </c>
      <c r="C841" t="s">
        <v>26</v>
      </c>
      <c r="D841">
        <v>201</v>
      </c>
      <c r="E841">
        <v>144.13200000000001</v>
      </c>
      <c r="F841">
        <v>1</v>
      </c>
      <c r="G841" t="s">
        <v>40</v>
      </c>
      <c r="H841" t="s">
        <v>22</v>
      </c>
      <c r="I841" t="s">
        <v>18</v>
      </c>
      <c r="J841" t="s">
        <v>23</v>
      </c>
      <c r="K841">
        <v>9</v>
      </c>
      <c r="L841">
        <v>0</v>
      </c>
      <c r="M841" s="2">
        <f t="shared" si="13"/>
        <v>28970.531999999999</v>
      </c>
      <c r="N841" s="2" t="str">
        <f>IF(Tabla1[[#This Row],[Aprobación_Veterinaria]]=1,"APROBADO","NO APROBADO")</f>
        <v>APROBADO</v>
      </c>
      <c r="O841" t="str">
        <f>IF(Tabla1[[#This Row],[Repite compra?]]=1,"REPITE","NO REPITE")</f>
        <v>NO REPITE</v>
      </c>
      <c r="P841" t="str">
        <f>IF(Tabla1[[#This Row],[rating_segun encuesta a Consumidor]]&lt;5,"Regular",IF(Tabla1[[#This Row],[rating_segun encuesta a Consumidor]]&gt;8,"Excelente","Bueno"))</f>
        <v>Excelente</v>
      </c>
    </row>
    <row r="842" spans="1:16" x14ac:dyDescent="0.35">
      <c r="A842" s="1">
        <v>44071</v>
      </c>
      <c r="B842">
        <v>5013</v>
      </c>
      <c r="C842" t="s">
        <v>15</v>
      </c>
      <c r="D842">
        <v>223</v>
      </c>
      <c r="E842">
        <v>176.78399999999999</v>
      </c>
      <c r="F842">
        <v>0</v>
      </c>
      <c r="G842" t="s">
        <v>16</v>
      </c>
      <c r="H842" t="s">
        <v>50</v>
      </c>
      <c r="I842" t="s">
        <v>41</v>
      </c>
      <c r="J842" t="s">
        <v>49</v>
      </c>
      <c r="K842">
        <v>6</v>
      </c>
      <c r="L842">
        <v>0</v>
      </c>
      <c r="M842" s="2">
        <f t="shared" si="13"/>
        <v>39422.831999999995</v>
      </c>
      <c r="N842" s="2" t="str">
        <f>IF(Tabla1[[#This Row],[Aprobación_Veterinaria]]=1,"APROBADO","NO APROBADO")</f>
        <v>NO APROBADO</v>
      </c>
      <c r="O842" t="str">
        <f>IF(Tabla1[[#This Row],[Repite compra?]]=1,"REPITE","NO REPITE")</f>
        <v>NO REPITE</v>
      </c>
      <c r="P842" t="str">
        <f>IF(Tabla1[[#This Row],[rating_segun encuesta a Consumidor]]&lt;5,"Regular",IF(Tabla1[[#This Row],[rating_segun encuesta a Consumidor]]&gt;8,"Excelente","Bueno"))</f>
        <v>Bueno</v>
      </c>
    </row>
    <row r="843" spans="1:16" x14ac:dyDescent="0.35">
      <c r="A843" s="1">
        <v>43985</v>
      </c>
      <c r="B843">
        <v>4699</v>
      </c>
      <c r="C843" t="s">
        <v>39</v>
      </c>
      <c r="D843">
        <v>173</v>
      </c>
      <c r="E843">
        <v>94.212000000000003</v>
      </c>
      <c r="F843">
        <v>0</v>
      </c>
      <c r="G843" t="s">
        <v>21</v>
      </c>
      <c r="H843" t="s">
        <v>54</v>
      </c>
      <c r="I843" t="s">
        <v>28</v>
      </c>
      <c r="J843" t="s">
        <v>23</v>
      </c>
      <c r="K843">
        <v>10</v>
      </c>
      <c r="L843">
        <v>0</v>
      </c>
      <c r="M843" s="2">
        <f t="shared" si="13"/>
        <v>16298.676000000001</v>
      </c>
      <c r="N843" s="2" t="str">
        <f>IF(Tabla1[[#This Row],[Aprobación_Veterinaria]]=1,"APROBADO","NO APROBADO")</f>
        <v>NO APROBADO</v>
      </c>
      <c r="O843" t="str">
        <f>IF(Tabla1[[#This Row],[Repite compra?]]=1,"REPITE","NO REPITE")</f>
        <v>NO REPITE</v>
      </c>
      <c r="P843" t="str">
        <f>IF(Tabla1[[#This Row],[rating_segun encuesta a Consumidor]]&lt;5,"Regular",IF(Tabla1[[#This Row],[rating_segun encuesta a Consumidor]]&gt;8,"Excelente","Bueno"))</f>
        <v>Excelente</v>
      </c>
    </row>
    <row r="844" spans="1:16" x14ac:dyDescent="0.35">
      <c r="A844" s="1">
        <v>43877</v>
      </c>
      <c r="B844">
        <v>4695</v>
      </c>
      <c r="C844" t="s">
        <v>43</v>
      </c>
      <c r="D844">
        <v>173</v>
      </c>
      <c r="E844">
        <v>211.04400000000001</v>
      </c>
      <c r="F844">
        <v>1</v>
      </c>
      <c r="G844" t="s">
        <v>24</v>
      </c>
      <c r="H844" t="s">
        <v>44</v>
      </c>
      <c r="I844" t="s">
        <v>35</v>
      </c>
      <c r="J844" t="s">
        <v>23</v>
      </c>
      <c r="K844">
        <v>10</v>
      </c>
      <c r="L844">
        <v>1</v>
      </c>
      <c r="M844" s="2">
        <f t="shared" si="13"/>
        <v>36510.612000000001</v>
      </c>
      <c r="N844" s="2" t="str">
        <f>IF(Tabla1[[#This Row],[Aprobación_Veterinaria]]=1,"APROBADO","NO APROBADO")</f>
        <v>APROBADO</v>
      </c>
      <c r="O844" t="str">
        <f>IF(Tabla1[[#This Row],[Repite compra?]]=1,"REPITE","NO REPITE")</f>
        <v>REPITE</v>
      </c>
      <c r="P844" t="str">
        <f>IF(Tabla1[[#This Row],[rating_segun encuesta a Consumidor]]&lt;5,"Regular",IF(Tabla1[[#This Row],[rating_segun encuesta a Consumidor]]&gt;8,"Excelente","Bueno"))</f>
        <v>Excelente</v>
      </c>
    </row>
    <row r="845" spans="1:16" x14ac:dyDescent="0.35">
      <c r="A845" s="1">
        <v>44058</v>
      </c>
      <c r="B845">
        <v>4569</v>
      </c>
      <c r="C845" t="s">
        <v>30</v>
      </c>
      <c r="D845">
        <v>190</v>
      </c>
      <c r="E845">
        <v>137.85599999999999</v>
      </c>
      <c r="F845">
        <v>1</v>
      </c>
      <c r="G845" t="s">
        <v>27</v>
      </c>
      <c r="H845" t="s">
        <v>22</v>
      </c>
      <c r="I845" t="s">
        <v>28</v>
      </c>
      <c r="J845" t="s">
        <v>23</v>
      </c>
      <c r="K845">
        <v>10</v>
      </c>
      <c r="L845">
        <v>0</v>
      </c>
      <c r="M845" s="2">
        <f t="shared" si="13"/>
        <v>26192.639999999999</v>
      </c>
      <c r="N845" s="2" t="str">
        <f>IF(Tabla1[[#This Row],[Aprobación_Veterinaria]]=1,"APROBADO","NO APROBADO")</f>
        <v>APROBADO</v>
      </c>
      <c r="O845" t="str">
        <f>IF(Tabla1[[#This Row],[Repite compra?]]=1,"REPITE","NO REPITE")</f>
        <v>NO REPITE</v>
      </c>
      <c r="P845" t="str">
        <f>IF(Tabla1[[#This Row],[rating_segun encuesta a Consumidor]]&lt;5,"Regular",IF(Tabla1[[#This Row],[rating_segun encuesta a Consumidor]]&gt;8,"Excelente","Bueno"))</f>
        <v>Excelente</v>
      </c>
    </row>
    <row r="846" spans="1:16" x14ac:dyDescent="0.35">
      <c r="A846" s="1">
        <v>44105</v>
      </c>
      <c r="B846">
        <v>4311</v>
      </c>
      <c r="C846" t="s">
        <v>46</v>
      </c>
      <c r="D846">
        <v>180</v>
      </c>
      <c r="E846">
        <v>129.84</v>
      </c>
      <c r="F846">
        <v>0</v>
      </c>
      <c r="G846" t="s">
        <v>31</v>
      </c>
      <c r="H846" t="s">
        <v>22</v>
      </c>
      <c r="I846" t="s">
        <v>45</v>
      </c>
      <c r="J846" t="s">
        <v>23</v>
      </c>
      <c r="K846">
        <v>9</v>
      </c>
      <c r="L846">
        <v>1</v>
      </c>
      <c r="M846" s="2">
        <f t="shared" si="13"/>
        <v>23371.200000000001</v>
      </c>
      <c r="N846" s="2" t="str">
        <f>IF(Tabla1[[#This Row],[Aprobación_Veterinaria]]=1,"APROBADO","NO APROBADO")</f>
        <v>NO APROBADO</v>
      </c>
      <c r="O846" t="str">
        <f>IF(Tabla1[[#This Row],[Repite compra?]]=1,"REPITE","NO REPITE")</f>
        <v>REPITE</v>
      </c>
      <c r="P846" t="str">
        <f>IF(Tabla1[[#This Row],[rating_segun encuesta a Consumidor]]&lt;5,"Regular",IF(Tabla1[[#This Row],[rating_segun encuesta a Consumidor]]&gt;8,"Excelente","Bueno"))</f>
        <v>Excelente</v>
      </c>
    </row>
    <row r="847" spans="1:16" x14ac:dyDescent="0.35">
      <c r="A847" s="1">
        <v>44130</v>
      </c>
      <c r="B847">
        <v>4536</v>
      </c>
      <c r="C847" t="s">
        <v>30</v>
      </c>
      <c r="D847">
        <v>140</v>
      </c>
      <c r="E847">
        <v>71.460000000000008</v>
      </c>
      <c r="F847">
        <v>1</v>
      </c>
      <c r="G847" t="s">
        <v>33</v>
      </c>
      <c r="H847" t="s">
        <v>22</v>
      </c>
      <c r="I847" t="s">
        <v>45</v>
      </c>
      <c r="J847" t="s">
        <v>29</v>
      </c>
      <c r="K847">
        <v>1</v>
      </c>
      <c r="L847">
        <v>0</v>
      </c>
      <c r="M847" s="2">
        <f t="shared" si="13"/>
        <v>10004.400000000001</v>
      </c>
      <c r="N847" s="2" t="str">
        <f>IF(Tabla1[[#This Row],[Aprobación_Veterinaria]]=1,"APROBADO","NO APROBADO")</f>
        <v>APROBADO</v>
      </c>
      <c r="O847" t="str">
        <f>IF(Tabla1[[#This Row],[Repite compra?]]=1,"REPITE","NO REPITE")</f>
        <v>NO REPITE</v>
      </c>
      <c r="P847" t="str">
        <f>IF(Tabla1[[#This Row],[rating_segun encuesta a Consumidor]]&lt;5,"Regular",IF(Tabla1[[#This Row],[rating_segun encuesta a Consumidor]]&gt;8,"Excelente","Bueno"))</f>
        <v>Regular</v>
      </c>
    </row>
    <row r="848" spans="1:16" x14ac:dyDescent="0.35">
      <c r="A848" s="1">
        <v>44126</v>
      </c>
      <c r="B848">
        <v>4388</v>
      </c>
      <c r="C848" t="s">
        <v>46</v>
      </c>
      <c r="D848">
        <v>189</v>
      </c>
      <c r="E848">
        <v>149.11199999999999</v>
      </c>
      <c r="F848">
        <v>0</v>
      </c>
      <c r="G848" t="s">
        <v>34</v>
      </c>
      <c r="H848" t="s">
        <v>22</v>
      </c>
      <c r="I848" t="s">
        <v>41</v>
      </c>
      <c r="J848" t="s">
        <v>29</v>
      </c>
      <c r="K848">
        <v>2</v>
      </c>
      <c r="L848">
        <v>0</v>
      </c>
      <c r="M848" s="2">
        <f t="shared" si="13"/>
        <v>28182.167999999998</v>
      </c>
      <c r="N848" s="2" t="str">
        <f>IF(Tabla1[[#This Row],[Aprobación_Veterinaria]]=1,"APROBADO","NO APROBADO")</f>
        <v>NO APROBADO</v>
      </c>
      <c r="O848" t="str">
        <f>IF(Tabla1[[#This Row],[Repite compra?]]=1,"REPITE","NO REPITE")</f>
        <v>NO REPITE</v>
      </c>
      <c r="P848" t="str">
        <f>IF(Tabla1[[#This Row],[rating_segun encuesta a Consumidor]]&lt;5,"Regular",IF(Tabla1[[#This Row],[rating_segun encuesta a Consumidor]]&gt;8,"Excelente","Bueno"))</f>
        <v>Regular</v>
      </c>
    </row>
    <row r="849" spans="1:16" x14ac:dyDescent="0.35">
      <c r="A849" s="1">
        <v>44061</v>
      </c>
      <c r="B849">
        <v>4455</v>
      </c>
      <c r="C849" t="s">
        <v>32</v>
      </c>
      <c r="D849">
        <v>198</v>
      </c>
      <c r="E849">
        <v>220.44</v>
      </c>
      <c r="F849">
        <v>0</v>
      </c>
      <c r="G849" t="s">
        <v>36</v>
      </c>
      <c r="H849" t="s">
        <v>22</v>
      </c>
      <c r="I849" t="s">
        <v>35</v>
      </c>
      <c r="J849" t="s">
        <v>23</v>
      </c>
      <c r="K849">
        <v>9</v>
      </c>
      <c r="L849">
        <v>0</v>
      </c>
      <c r="M849" s="2">
        <f t="shared" si="13"/>
        <v>43647.12</v>
      </c>
      <c r="N849" s="2" t="str">
        <f>IF(Tabla1[[#This Row],[Aprobación_Veterinaria]]=1,"APROBADO","NO APROBADO")</f>
        <v>NO APROBADO</v>
      </c>
      <c r="O849" t="str">
        <f>IF(Tabla1[[#This Row],[Repite compra?]]=1,"REPITE","NO REPITE")</f>
        <v>NO REPITE</v>
      </c>
      <c r="P849" t="str">
        <f>IF(Tabla1[[#This Row],[rating_segun encuesta a Consumidor]]&lt;5,"Regular",IF(Tabla1[[#This Row],[rating_segun encuesta a Consumidor]]&gt;8,"Excelente","Bueno"))</f>
        <v>Excelente</v>
      </c>
    </row>
    <row r="850" spans="1:16" x14ac:dyDescent="0.35">
      <c r="A850" s="1">
        <v>43928</v>
      </c>
      <c r="B850">
        <v>4924</v>
      </c>
      <c r="C850" t="s">
        <v>26</v>
      </c>
      <c r="D850">
        <v>121</v>
      </c>
      <c r="E850">
        <v>104.964</v>
      </c>
      <c r="F850">
        <v>0</v>
      </c>
      <c r="G850" t="s">
        <v>37</v>
      </c>
      <c r="H850" t="s">
        <v>54</v>
      </c>
      <c r="I850" t="s">
        <v>18</v>
      </c>
      <c r="J850" t="s">
        <v>29</v>
      </c>
      <c r="K850">
        <v>6</v>
      </c>
      <c r="L850">
        <v>0</v>
      </c>
      <c r="M850" s="2">
        <f t="shared" si="13"/>
        <v>12700.644</v>
      </c>
      <c r="N850" s="2" t="str">
        <f>IF(Tabla1[[#This Row],[Aprobación_Veterinaria]]=1,"APROBADO","NO APROBADO")</f>
        <v>NO APROBADO</v>
      </c>
      <c r="O850" t="str">
        <f>IF(Tabla1[[#This Row],[Repite compra?]]=1,"REPITE","NO REPITE")</f>
        <v>NO REPITE</v>
      </c>
      <c r="P850" t="str">
        <f>IF(Tabla1[[#This Row],[rating_segun encuesta a Consumidor]]&lt;5,"Regular",IF(Tabla1[[#This Row],[rating_segun encuesta a Consumidor]]&gt;8,"Excelente","Bueno"))</f>
        <v>Bueno</v>
      </c>
    </row>
    <row r="851" spans="1:16" x14ac:dyDescent="0.35">
      <c r="A851" s="1">
        <v>44046</v>
      </c>
      <c r="B851">
        <v>4404</v>
      </c>
      <c r="C851" t="s">
        <v>30</v>
      </c>
      <c r="D851">
        <v>57</v>
      </c>
      <c r="E851">
        <v>76.332000000000008</v>
      </c>
      <c r="F851">
        <v>0</v>
      </c>
      <c r="G851" t="s">
        <v>40</v>
      </c>
      <c r="H851" t="s">
        <v>22</v>
      </c>
      <c r="I851" t="s">
        <v>28</v>
      </c>
      <c r="J851" t="s">
        <v>29</v>
      </c>
      <c r="K851">
        <v>6</v>
      </c>
      <c r="L851">
        <v>1</v>
      </c>
      <c r="M851" s="2">
        <f t="shared" si="13"/>
        <v>4350.9240000000009</v>
      </c>
      <c r="N851" s="2" t="str">
        <f>IF(Tabla1[[#This Row],[Aprobación_Veterinaria]]=1,"APROBADO","NO APROBADO")</f>
        <v>NO APROBADO</v>
      </c>
      <c r="O851" t="str">
        <f>IF(Tabla1[[#This Row],[Repite compra?]]=1,"REPITE","NO REPITE")</f>
        <v>REPITE</v>
      </c>
      <c r="P851" t="str">
        <f>IF(Tabla1[[#This Row],[rating_segun encuesta a Consumidor]]&lt;5,"Regular",IF(Tabla1[[#This Row],[rating_segun encuesta a Consumidor]]&gt;8,"Excelente","Bueno"))</f>
        <v>Bueno</v>
      </c>
    </row>
    <row r="852" spans="1:16" x14ac:dyDescent="0.35">
      <c r="A852" s="1">
        <v>44113</v>
      </c>
      <c r="B852">
        <v>4564</v>
      </c>
      <c r="C852" t="s">
        <v>46</v>
      </c>
      <c r="D852">
        <v>195</v>
      </c>
      <c r="E852">
        <v>62.328000000000003</v>
      </c>
      <c r="F852">
        <v>0</v>
      </c>
      <c r="G852" t="s">
        <v>16</v>
      </c>
      <c r="H852" t="s">
        <v>22</v>
      </c>
      <c r="I852" t="s">
        <v>28</v>
      </c>
      <c r="J852" t="s">
        <v>29</v>
      </c>
      <c r="K852">
        <v>10</v>
      </c>
      <c r="L852">
        <v>1</v>
      </c>
      <c r="M852" s="2">
        <f t="shared" si="13"/>
        <v>12153.960000000001</v>
      </c>
      <c r="N852" s="2" t="str">
        <f>IF(Tabla1[[#This Row],[Aprobación_Veterinaria]]=1,"APROBADO","NO APROBADO")</f>
        <v>NO APROBADO</v>
      </c>
      <c r="O852" t="str">
        <f>IF(Tabla1[[#This Row],[Repite compra?]]=1,"REPITE","NO REPITE")</f>
        <v>REPITE</v>
      </c>
      <c r="P852" t="str">
        <f>IF(Tabla1[[#This Row],[rating_segun encuesta a Consumidor]]&lt;5,"Regular",IF(Tabla1[[#This Row],[rating_segun encuesta a Consumidor]]&gt;8,"Excelente","Bueno"))</f>
        <v>Excelente</v>
      </c>
    </row>
    <row r="853" spans="1:16" x14ac:dyDescent="0.35">
      <c r="A853" s="1">
        <v>43831</v>
      </c>
      <c r="B853">
        <v>4552</v>
      </c>
      <c r="C853" t="s">
        <v>15</v>
      </c>
      <c r="D853">
        <v>29</v>
      </c>
      <c r="E853">
        <v>184.404</v>
      </c>
      <c r="F853">
        <v>0</v>
      </c>
      <c r="G853" t="s">
        <v>21</v>
      </c>
      <c r="H853" t="s">
        <v>22</v>
      </c>
      <c r="I853" t="s">
        <v>18</v>
      </c>
      <c r="J853" t="s">
        <v>29</v>
      </c>
      <c r="K853">
        <v>10</v>
      </c>
      <c r="L853">
        <v>1</v>
      </c>
      <c r="M853" s="2">
        <f t="shared" si="13"/>
        <v>5347.7160000000003</v>
      </c>
      <c r="N853" s="2" t="str">
        <f>IF(Tabla1[[#This Row],[Aprobación_Veterinaria]]=1,"APROBADO","NO APROBADO")</f>
        <v>NO APROBADO</v>
      </c>
      <c r="O853" t="str">
        <f>IF(Tabla1[[#This Row],[Repite compra?]]=1,"REPITE","NO REPITE")</f>
        <v>REPITE</v>
      </c>
      <c r="P853" t="str">
        <f>IF(Tabla1[[#This Row],[rating_segun encuesta a Consumidor]]&lt;5,"Regular",IF(Tabla1[[#This Row],[rating_segun encuesta a Consumidor]]&gt;8,"Excelente","Bueno"))</f>
        <v>Excelente</v>
      </c>
    </row>
    <row r="854" spans="1:16" x14ac:dyDescent="0.35">
      <c r="A854" s="1">
        <v>44156</v>
      </c>
      <c r="B854">
        <v>4749</v>
      </c>
      <c r="C854" t="s">
        <v>43</v>
      </c>
      <c r="D854">
        <v>229</v>
      </c>
      <c r="E854">
        <v>177.37200000000001</v>
      </c>
      <c r="F854">
        <v>1</v>
      </c>
      <c r="G854" t="s">
        <v>24</v>
      </c>
      <c r="H854" t="s">
        <v>54</v>
      </c>
      <c r="I854" t="s">
        <v>41</v>
      </c>
      <c r="J854" t="s">
        <v>23</v>
      </c>
      <c r="K854">
        <v>7</v>
      </c>
      <c r="L854">
        <v>1</v>
      </c>
      <c r="M854" s="2">
        <f t="shared" si="13"/>
        <v>40618.188000000002</v>
      </c>
      <c r="N854" s="2" t="str">
        <f>IF(Tabla1[[#This Row],[Aprobación_Veterinaria]]=1,"APROBADO","NO APROBADO")</f>
        <v>APROBADO</v>
      </c>
      <c r="O854" t="str">
        <f>IF(Tabla1[[#This Row],[Repite compra?]]=1,"REPITE","NO REPITE")</f>
        <v>REPITE</v>
      </c>
      <c r="P854" t="str">
        <f>IF(Tabla1[[#This Row],[rating_segun encuesta a Consumidor]]&lt;5,"Regular",IF(Tabla1[[#This Row],[rating_segun encuesta a Consumidor]]&gt;8,"Excelente","Bueno"))</f>
        <v>Bueno</v>
      </c>
    </row>
    <row r="855" spans="1:16" x14ac:dyDescent="0.35">
      <c r="A855" s="1">
        <v>43885</v>
      </c>
      <c r="B855">
        <v>4325</v>
      </c>
      <c r="C855" t="s">
        <v>20</v>
      </c>
      <c r="D855">
        <v>79</v>
      </c>
      <c r="E855">
        <v>119.07600000000001</v>
      </c>
      <c r="F855">
        <v>0</v>
      </c>
      <c r="G855" t="s">
        <v>27</v>
      </c>
      <c r="H855" t="s">
        <v>22</v>
      </c>
      <c r="I855" t="s">
        <v>35</v>
      </c>
      <c r="J855" t="s">
        <v>23</v>
      </c>
      <c r="K855">
        <v>3</v>
      </c>
      <c r="L855">
        <v>0</v>
      </c>
      <c r="M855" s="2">
        <f t="shared" si="13"/>
        <v>9407.0040000000008</v>
      </c>
      <c r="N855" s="2" t="str">
        <f>IF(Tabla1[[#This Row],[Aprobación_Veterinaria]]=1,"APROBADO","NO APROBADO")</f>
        <v>NO APROBADO</v>
      </c>
      <c r="O855" t="str">
        <f>IF(Tabla1[[#This Row],[Repite compra?]]=1,"REPITE","NO REPITE")</f>
        <v>NO REPITE</v>
      </c>
      <c r="P855" t="str">
        <f>IF(Tabla1[[#This Row],[rating_segun encuesta a Consumidor]]&lt;5,"Regular",IF(Tabla1[[#This Row],[rating_segun encuesta a Consumidor]]&gt;8,"Excelente","Bueno"))</f>
        <v>Regular</v>
      </c>
    </row>
    <row r="856" spans="1:16" x14ac:dyDescent="0.35">
      <c r="A856" s="1">
        <v>43858</v>
      </c>
      <c r="B856">
        <v>4625</v>
      </c>
      <c r="C856" t="s">
        <v>51</v>
      </c>
      <c r="D856">
        <v>185</v>
      </c>
      <c r="E856">
        <v>138.672</v>
      </c>
      <c r="F856">
        <v>0</v>
      </c>
      <c r="G856" t="s">
        <v>31</v>
      </c>
      <c r="H856" t="s">
        <v>22</v>
      </c>
      <c r="I856" t="s">
        <v>35</v>
      </c>
      <c r="J856" t="s">
        <v>23</v>
      </c>
      <c r="K856">
        <v>10</v>
      </c>
      <c r="L856">
        <v>1</v>
      </c>
      <c r="M856" s="2">
        <f t="shared" si="13"/>
        <v>25654.32</v>
      </c>
      <c r="N856" s="2" t="str">
        <f>IF(Tabla1[[#This Row],[Aprobación_Veterinaria]]=1,"APROBADO","NO APROBADO")</f>
        <v>NO APROBADO</v>
      </c>
      <c r="O856" t="str">
        <f>IF(Tabla1[[#This Row],[Repite compra?]]=1,"REPITE","NO REPITE")</f>
        <v>REPITE</v>
      </c>
      <c r="P856" t="str">
        <f>IF(Tabla1[[#This Row],[rating_segun encuesta a Consumidor]]&lt;5,"Regular",IF(Tabla1[[#This Row],[rating_segun encuesta a Consumidor]]&gt;8,"Excelente","Bueno"))</f>
        <v>Excelente</v>
      </c>
    </row>
    <row r="857" spans="1:16" x14ac:dyDescent="0.35">
      <c r="A857" s="1">
        <v>43916</v>
      </c>
      <c r="B857">
        <v>4294</v>
      </c>
      <c r="C857" t="s">
        <v>30</v>
      </c>
      <c r="D857">
        <v>43</v>
      </c>
      <c r="E857">
        <v>13.476000000000001</v>
      </c>
      <c r="F857">
        <v>0</v>
      </c>
      <c r="G857" t="s">
        <v>33</v>
      </c>
      <c r="H857" t="s">
        <v>22</v>
      </c>
      <c r="I857" t="s">
        <v>28</v>
      </c>
      <c r="J857" t="s">
        <v>53</v>
      </c>
      <c r="K857">
        <v>3</v>
      </c>
      <c r="L857">
        <v>0</v>
      </c>
      <c r="M857" s="2">
        <f t="shared" si="13"/>
        <v>579.46800000000007</v>
      </c>
      <c r="N857" s="2" t="str">
        <f>IF(Tabla1[[#This Row],[Aprobación_Veterinaria]]=1,"APROBADO","NO APROBADO")</f>
        <v>NO APROBADO</v>
      </c>
      <c r="O857" t="str">
        <f>IF(Tabla1[[#This Row],[Repite compra?]]=1,"REPITE","NO REPITE")</f>
        <v>NO REPITE</v>
      </c>
      <c r="P857" t="str">
        <f>IF(Tabla1[[#This Row],[rating_segun encuesta a Consumidor]]&lt;5,"Regular",IF(Tabla1[[#This Row],[rating_segun encuesta a Consumidor]]&gt;8,"Excelente","Bueno"))</f>
        <v>Regular</v>
      </c>
    </row>
    <row r="858" spans="1:16" x14ac:dyDescent="0.35">
      <c r="A858" s="1">
        <v>44084</v>
      </c>
      <c r="B858">
        <v>4265</v>
      </c>
      <c r="C858" t="s">
        <v>26</v>
      </c>
      <c r="D858">
        <v>99</v>
      </c>
      <c r="E858">
        <v>188.00399999999999</v>
      </c>
      <c r="F858">
        <v>0</v>
      </c>
      <c r="G858" t="s">
        <v>34</v>
      </c>
      <c r="H858" t="s">
        <v>22</v>
      </c>
      <c r="I858" t="s">
        <v>35</v>
      </c>
      <c r="J858" t="s">
        <v>19</v>
      </c>
      <c r="K858">
        <v>10</v>
      </c>
      <c r="L858">
        <v>0</v>
      </c>
      <c r="M858" s="2">
        <f t="shared" si="13"/>
        <v>18612.396000000001</v>
      </c>
      <c r="N858" s="2" t="str">
        <f>IF(Tabla1[[#This Row],[Aprobación_Veterinaria]]=1,"APROBADO","NO APROBADO")</f>
        <v>NO APROBADO</v>
      </c>
      <c r="O858" t="str">
        <f>IF(Tabla1[[#This Row],[Repite compra?]]=1,"REPITE","NO REPITE")</f>
        <v>NO REPITE</v>
      </c>
      <c r="P858" t="str">
        <f>IF(Tabla1[[#This Row],[rating_segun encuesta a Consumidor]]&lt;5,"Regular",IF(Tabla1[[#This Row],[rating_segun encuesta a Consumidor]]&gt;8,"Excelente","Bueno"))</f>
        <v>Excelente</v>
      </c>
    </row>
    <row r="859" spans="1:16" x14ac:dyDescent="0.35">
      <c r="A859" s="1">
        <v>44137</v>
      </c>
      <c r="B859">
        <v>4808</v>
      </c>
      <c r="C859" t="s">
        <v>20</v>
      </c>
      <c r="D859">
        <v>118</v>
      </c>
      <c r="E859">
        <v>211.93200000000002</v>
      </c>
      <c r="F859">
        <v>0</v>
      </c>
      <c r="G859" t="s">
        <v>36</v>
      </c>
      <c r="H859" t="s">
        <v>50</v>
      </c>
      <c r="I859" t="s">
        <v>18</v>
      </c>
      <c r="J859" t="s">
        <v>29</v>
      </c>
      <c r="K859">
        <v>2</v>
      </c>
      <c r="L859">
        <v>1</v>
      </c>
      <c r="M859" s="2">
        <f t="shared" si="13"/>
        <v>25007.976000000002</v>
      </c>
      <c r="N859" s="2" t="str">
        <f>IF(Tabla1[[#This Row],[Aprobación_Veterinaria]]=1,"APROBADO","NO APROBADO")</f>
        <v>NO APROBADO</v>
      </c>
      <c r="O859" t="str">
        <f>IF(Tabla1[[#This Row],[Repite compra?]]=1,"REPITE","NO REPITE")</f>
        <v>REPITE</v>
      </c>
      <c r="P859" t="str">
        <f>IF(Tabla1[[#This Row],[rating_segun encuesta a Consumidor]]&lt;5,"Regular",IF(Tabla1[[#This Row],[rating_segun encuesta a Consumidor]]&gt;8,"Excelente","Bueno"))</f>
        <v>Regular</v>
      </c>
    </row>
    <row r="860" spans="1:16" x14ac:dyDescent="0.35">
      <c r="A860" s="1">
        <v>44046</v>
      </c>
      <c r="B860">
        <v>4641</v>
      </c>
      <c r="C860" t="s">
        <v>46</v>
      </c>
      <c r="D860">
        <v>47</v>
      </c>
      <c r="E860">
        <v>92.4</v>
      </c>
      <c r="F860">
        <v>0</v>
      </c>
      <c r="G860" t="s">
        <v>37</v>
      </c>
      <c r="H860" t="s">
        <v>22</v>
      </c>
      <c r="I860" t="s">
        <v>45</v>
      </c>
      <c r="J860" t="s">
        <v>23</v>
      </c>
      <c r="K860">
        <v>10</v>
      </c>
      <c r="L860">
        <v>0</v>
      </c>
      <c r="M860" s="2">
        <f t="shared" si="13"/>
        <v>4342.8</v>
      </c>
      <c r="N860" s="2" t="str">
        <f>IF(Tabla1[[#This Row],[Aprobación_Veterinaria]]=1,"APROBADO","NO APROBADO")</f>
        <v>NO APROBADO</v>
      </c>
      <c r="O860" t="str">
        <f>IF(Tabla1[[#This Row],[Repite compra?]]=1,"REPITE","NO REPITE")</f>
        <v>NO REPITE</v>
      </c>
      <c r="P860" t="str">
        <f>IF(Tabla1[[#This Row],[rating_segun encuesta a Consumidor]]&lt;5,"Regular",IF(Tabla1[[#This Row],[rating_segun encuesta a Consumidor]]&gt;8,"Excelente","Bueno"))</f>
        <v>Excelente</v>
      </c>
    </row>
    <row r="861" spans="1:16" x14ac:dyDescent="0.35">
      <c r="A861" s="1">
        <v>43835</v>
      </c>
      <c r="B861">
        <v>4554</v>
      </c>
      <c r="C861" t="s">
        <v>32</v>
      </c>
      <c r="D861">
        <v>107</v>
      </c>
      <c r="E861">
        <v>96.695999999999998</v>
      </c>
      <c r="F861">
        <v>0</v>
      </c>
      <c r="G861" t="s">
        <v>40</v>
      </c>
      <c r="H861" t="s">
        <v>22</v>
      </c>
      <c r="I861" t="s">
        <v>28</v>
      </c>
      <c r="J861" t="s">
        <v>29</v>
      </c>
      <c r="K861">
        <v>10</v>
      </c>
      <c r="L861">
        <v>0</v>
      </c>
      <c r="M861" s="2">
        <f t="shared" si="13"/>
        <v>10346.472</v>
      </c>
      <c r="N861" s="2" t="str">
        <f>IF(Tabla1[[#This Row],[Aprobación_Veterinaria]]=1,"APROBADO","NO APROBADO")</f>
        <v>NO APROBADO</v>
      </c>
      <c r="O861" t="str">
        <f>IF(Tabla1[[#This Row],[Repite compra?]]=1,"REPITE","NO REPITE")</f>
        <v>NO REPITE</v>
      </c>
      <c r="P861" t="str">
        <f>IF(Tabla1[[#This Row],[rating_segun encuesta a Consumidor]]&lt;5,"Regular",IF(Tabla1[[#This Row],[rating_segun encuesta a Consumidor]]&gt;8,"Excelente","Bueno"))</f>
        <v>Excelente</v>
      </c>
    </row>
    <row r="862" spans="1:16" x14ac:dyDescent="0.35">
      <c r="A862" s="1">
        <v>44018</v>
      </c>
      <c r="B862">
        <v>4776</v>
      </c>
      <c r="C862" t="s">
        <v>15</v>
      </c>
      <c r="D862">
        <v>170</v>
      </c>
      <c r="E862">
        <v>217.38</v>
      </c>
      <c r="F862">
        <v>0</v>
      </c>
      <c r="G862" t="s">
        <v>16</v>
      </c>
      <c r="H862" t="s">
        <v>48</v>
      </c>
      <c r="I862" t="s">
        <v>18</v>
      </c>
      <c r="J862" t="s">
        <v>29</v>
      </c>
      <c r="K862">
        <v>7</v>
      </c>
      <c r="L862">
        <v>1</v>
      </c>
      <c r="M862" s="2">
        <f t="shared" si="13"/>
        <v>36954.6</v>
      </c>
      <c r="N862" s="2" t="str">
        <f>IF(Tabla1[[#This Row],[Aprobación_Veterinaria]]=1,"APROBADO","NO APROBADO")</f>
        <v>NO APROBADO</v>
      </c>
      <c r="O862" t="str">
        <f>IF(Tabla1[[#This Row],[Repite compra?]]=1,"REPITE","NO REPITE")</f>
        <v>REPITE</v>
      </c>
      <c r="P862" t="str">
        <f>IF(Tabla1[[#This Row],[rating_segun encuesta a Consumidor]]&lt;5,"Regular",IF(Tabla1[[#This Row],[rating_segun encuesta a Consumidor]]&gt;8,"Excelente","Bueno"))</f>
        <v>Bueno</v>
      </c>
    </row>
    <row r="863" spans="1:16" x14ac:dyDescent="0.35">
      <c r="A863" s="1">
        <v>43872</v>
      </c>
      <c r="B863">
        <v>4909</v>
      </c>
      <c r="C863" t="s">
        <v>26</v>
      </c>
      <c r="D863">
        <v>210</v>
      </c>
      <c r="E863">
        <v>196.18800000000002</v>
      </c>
      <c r="F863">
        <v>1</v>
      </c>
      <c r="G863" t="s">
        <v>21</v>
      </c>
      <c r="H863" t="s">
        <v>54</v>
      </c>
      <c r="I863" t="s">
        <v>41</v>
      </c>
      <c r="J863" t="s">
        <v>23</v>
      </c>
      <c r="K863">
        <v>6</v>
      </c>
      <c r="L863">
        <v>0</v>
      </c>
      <c r="M863" s="2">
        <f t="shared" si="13"/>
        <v>41199.480000000003</v>
      </c>
      <c r="N863" s="2" t="str">
        <f>IF(Tabla1[[#This Row],[Aprobación_Veterinaria]]=1,"APROBADO","NO APROBADO")</f>
        <v>APROBADO</v>
      </c>
      <c r="O863" t="str">
        <f>IF(Tabla1[[#This Row],[Repite compra?]]=1,"REPITE","NO REPITE")</f>
        <v>NO REPITE</v>
      </c>
      <c r="P863" t="str">
        <f>IF(Tabla1[[#This Row],[rating_segun encuesta a Consumidor]]&lt;5,"Regular",IF(Tabla1[[#This Row],[rating_segun encuesta a Consumidor]]&gt;8,"Excelente","Bueno"))</f>
        <v>Bueno</v>
      </c>
    </row>
    <row r="864" spans="1:16" x14ac:dyDescent="0.35">
      <c r="A864" s="1">
        <v>43932</v>
      </c>
      <c r="B864">
        <v>4267</v>
      </c>
      <c r="C864" t="s">
        <v>46</v>
      </c>
      <c r="D864">
        <v>69</v>
      </c>
      <c r="E864">
        <v>73.835999999999999</v>
      </c>
      <c r="F864">
        <v>0</v>
      </c>
      <c r="G864" t="s">
        <v>24</v>
      </c>
      <c r="H864" t="s">
        <v>22</v>
      </c>
      <c r="I864" t="s">
        <v>18</v>
      </c>
      <c r="J864" t="s">
        <v>25</v>
      </c>
      <c r="K864">
        <v>9</v>
      </c>
      <c r="L864">
        <v>0</v>
      </c>
      <c r="M864" s="2">
        <f t="shared" si="13"/>
        <v>5094.6840000000002</v>
      </c>
      <c r="N864" s="2" t="str">
        <f>IF(Tabla1[[#This Row],[Aprobación_Veterinaria]]=1,"APROBADO","NO APROBADO")</f>
        <v>NO APROBADO</v>
      </c>
      <c r="O864" t="str">
        <f>IF(Tabla1[[#This Row],[Repite compra?]]=1,"REPITE","NO REPITE")</f>
        <v>NO REPITE</v>
      </c>
      <c r="P864" t="str">
        <f>IF(Tabla1[[#This Row],[rating_segun encuesta a Consumidor]]&lt;5,"Regular",IF(Tabla1[[#This Row],[rating_segun encuesta a Consumidor]]&gt;8,"Excelente","Bueno"))</f>
        <v>Excelente</v>
      </c>
    </row>
    <row r="865" spans="1:16" x14ac:dyDescent="0.35">
      <c r="A865" s="1">
        <v>43950</v>
      </c>
      <c r="B865">
        <v>4997</v>
      </c>
      <c r="C865" t="s">
        <v>20</v>
      </c>
      <c r="D865">
        <v>220</v>
      </c>
      <c r="E865">
        <v>162.816</v>
      </c>
      <c r="F865">
        <v>0</v>
      </c>
      <c r="G865" t="s">
        <v>27</v>
      </c>
      <c r="H865" t="s">
        <v>38</v>
      </c>
      <c r="I865" t="s">
        <v>41</v>
      </c>
      <c r="J865" t="s">
        <v>49</v>
      </c>
      <c r="K865">
        <v>6</v>
      </c>
      <c r="L865">
        <v>0</v>
      </c>
      <c r="M865" s="2">
        <f t="shared" si="13"/>
        <v>35819.520000000004</v>
      </c>
      <c r="N865" s="2" t="str">
        <f>IF(Tabla1[[#This Row],[Aprobación_Veterinaria]]=1,"APROBADO","NO APROBADO")</f>
        <v>NO APROBADO</v>
      </c>
      <c r="O865" t="str">
        <f>IF(Tabla1[[#This Row],[Repite compra?]]=1,"REPITE","NO REPITE")</f>
        <v>NO REPITE</v>
      </c>
      <c r="P865" t="str">
        <f>IF(Tabla1[[#This Row],[rating_segun encuesta a Consumidor]]&lt;5,"Regular",IF(Tabla1[[#This Row],[rating_segun encuesta a Consumidor]]&gt;8,"Excelente","Bueno"))</f>
        <v>Bueno</v>
      </c>
    </row>
    <row r="866" spans="1:16" x14ac:dyDescent="0.35">
      <c r="A866" s="1">
        <v>43834</v>
      </c>
      <c r="B866">
        <v>4853</v>
      </c>
      <c r="C866" t="s">
        <v>20</v>
      </c>
      <c r="D866">
        <v>136</v>
      </c>
      <c r="E866">
        <v>157.16400000000002</v>
      </c>
      <c r="F866">
        <v>0</v>
      </c>
      <c r="G866" t="s">
        <v>31</v>
      </c>
      <c r="H866" t="s">
        <v>50</v>
      </c>
      <c r="I866" t="s">
        <v>41</v>
      </c>
      <c r="J866" t="s">
        <v>23</v>
      </c>
      <c r="K866">
        <v>1</v>
      </c>
      <c r="L866">
        <v>1</v>
      </c>
      <c r="M866" s="2">
        <f t="shared" si="13"/>
        <v>21374.304000000004</v>
      </c>
      <c r="N866" s="2" t="str">
        <f>IF(Tabla1[[#This Row],[Aprobación_Veterinaria]]=1,"APROBADO","NO APROBADO")</f>
        <v>NO APROBADO</v>
      </c>
      <c r="O866" t="str">
        <f>IF(Tabla1[[#This Row],[Repite compra?]]=1,"REPITE","NO REPITE")</f>
        <v>REPITE</v>
      </c>
      <c r="P866" t="str">
        <f>IF(Tabla1[[#This Row],[rating_segun encuesta a Consumidor]]&lt;5,"Regular",IF(Tabla1[[#This Row],[rating_segun encuesta a Consumidor]]&gt;8,"Excelente","Bueno"))</f>
        <v>Regular</v>
      </c>
    </row>
    <row r="867" spans="1:16" x14ac:dyDescent="0.35">
      <c r="A867" s="1">
        <v>43938</v>
      </c>
      <c r="B867">
        <v>4495</v>
      </c>
      <c r="C867" t="s">
        <v>43</v>
      </c>
      <c r="D867">
        <v>159</v>
      </c>
      <c r="E867">
        <v>33.252000000000002</v>
      </c>
      <c r="F867">
        <v>1</v>
      </c>
      <c r="G867" t="s">
        <v>33</v>
      </c>
      <c r="H867" t="s">
        <v>22</v>
      </c>
      <c r="I867" t="s">
        <v>35</v>
      </c>
      <c r="J867" t="s">
        <v>23</v>
      </c>
      <c r="K867">
        <v>4</v>
      </c>
      <c r="L867">
        <v>0</v>
      </c>
      <c r="M867" s="2">
        <f t="shared" si="13"/>
        <v>5287.0680000000002</v>
      </c>
      <c r="N867" s="2" t="str">
        <f>IF(Tabla1[[#This Row],[Aprobación_Veterinaria]]=1,"APROBADO","NO APROBADO")</f>
        <v>APROBADO</v>
      </c>
      <c r="O867" t="str">
        <f>IF(Tabla1[[#This Row],[Repite compra?]]=1,"REPITE","NO REPITE")</f>
        <v>NO REPITE</v>
      </c>
      <c r="P867" t="str">
        <f>IF(Tabla1[[#This Row],[rating_segun encuesta a Consumidor]]&lt;5,"Regular",IF(Tabla1[[#This Row],[rating_segun encuesta a Consumidor]]&gt;8,"Excelente","Bueno"))</f>
        <v>Regular</v>
      </c>
    </row>
    <row r="868" spans="1:16" x14ac:dyDescent="0.35">
      <c r="A868" s="1">
        <v>44035</v>
      </c>
      <c r="B868">
        <v>4407</v>
      </c>
      <c r="C868" t="s">
        <v>43</v>
      </c>
      <c r="D868">
        <v>177</v>
      </c>
      <c r="E868">
        <v>123.3</v>
      </c>
      <c r="F868">
        <v>0</v>
      </c>
      <c r="G868" t="s">
        <v>34</v>
      </c>
      <c r="H868" t="s">
        <v>22</v>
      </c>
      <c r="I868" t="s">
        <v>18</v>
      </c>
      <c r="J868" t="s">
        <v>23</v>
      </c>
      <c r="K868">
        <v>3</v>
      </c>
      <c r="L868">
        <v>1</v>
      </c>
      <c r="M868" s="2">
        <f t="shared" si="13"/>
        <v>21824.1</v>
      </c>
      <c r="N868" s="2" t="str">
        <f>IF(Tabla1[[#This Row],[Aprobación_Veterinaria]]=1,"APROBADO","NO APROBADO")</f>
        <v>NO APROBADO</v>
      </c>
      <c r="O868" t="str">
        <f>IF(Tabla1[[#This Row],[Repite compra?]]=1,"REPITE","NO REPITE")</f>
        <v>REPITE</v>
      </c>
      <c r="P868" t="str">
        <f>IF(Tabla1[[#This Row],[rating_segun encuesta a Consumidor]]&lt;5,"Regular",IF(Tabla1[[#This Row],[rating_segun encuesta a Consumidor]]&gt;8,"Excelente","Bueno"))</f>
        <v>Regular</v>
      </c>
    </row>
    <row r="869" spans="1:16" x14ac:dyDescent="0.35">
      <c r="A869" s="1">
        <v>44024</v>
      </c>
      <c r="B869">
        <v>4234</v>
      </c>
      <c r="C869" t="s">
        <v>46</v>
      </c>
      <c r="D869">
        <v>19</v>
      </c>
      <c r="E869">
        <v>27.923999999999999</v>
      </c>
      <c r="F869">
        <v>1</v>
      </c>
      <c r="G869" t="s">
        <v>36</v>
      </c>
      <c r="H869" t="s">
        <v>22</v>
      </c>
      <c r="I869" t="s">
        <v>28</v>
      </c>
      <c r="J869" t="s">
        <v>53</v>
      </c>
      <c r="K869">
        <v>7</v>
      </c>
      <c r="L869">
        <v>1</v>
      </c>
      <c r="M869" s="2">
        <f t="shared" si="13"/>
        <v>530.55600000000004</v>
      </c>
      <c r="N869" s="2" t="str">
        <f>IF(Tabla1[[#This Row],[Aprobación_Veterinaria]]=1,"APROBADO","NO APROBADO")</f>
        <v>APROBADO</v>
      </c>
      <c r="O869" t="str">
        <f>IF(Tabla1[[#This Row],[Repite compra?]]=1,"REPITE","NO REPITE")</f>
        <v>REPITE</v>
      </c>
      <c r="P869" t="str">
        <f>IF(Tabla1[[#This Row],[rating_segun encuesta a Consumidor]]&lt;5,"Regular",IF(Tabla1[[#This Row],[rating_segun encuesta a Consumidor]]&gt;8,"Excelente","Bueno"))</f>
        <v>Bueno</v>
      </c>
    </row>
    <row r="870" spans="1:16" x14ac:dyDescent="0.35">
      <c r="A870" s="1">
        <v>43908</v>
      </c>
      <c r="B870">
        <v>4989</v>
      </c>
      <c r="C870" t="s">
        <v>15</v>
      </c>
      <c r="D870">
        <v>126</v>
      </c>
      <c r="E870">
        <v>216.15600000000001</v>
      </c>
      <c r="F870">
        <v>0</v>
      </c>
      <c r="G870" t="s">
        <v>37</v>
      </c>
      <c r="H870" t="s">
        <v>54</v>
      </c>
      <c r="I870" t="s">
        <v>41</v>
      </c>
      <c r="J870" t="s">
        <v>49</v>
      </c>
      <c r="K870">
        <v>6</v>
      </c>
      <c r="L870">
        <v>0</v>
      </c>
      <c r="M870" s="2">
        <f t="shared" si="13"/>
        <v>27235.655999999999</v>
      </c>
      <c r="N870" s="2" t="str">
        <f>IF(Tabla1[[#This Row],[Aprobación_Veterinaria]]=1,"APROBADO","NO APROBADO")</f>
        <v>NO APROBADO</v>
      </c>
      <c r="O870" t="str">
        <f>IF(Tabla1[[#This Row],[Repite compra?]]=1,"REPITE","NO REPITE")</f>
        <v>NO REPITE</v>
      </c>
      <c r="P870" t="str">
        <f>IF(Tabla1[[#This Row],[rating_segun encuesta a Consumidor]]&lt;5,"Regular",IF(Tabla1[[#This Row],[rating_segun encuesta a Consumidor]]&gt;8,"Excelente","Bueno"))</f>
        <v>Bueno</v>
      </c>
    </row>
    <row r="871" spans="1:16" x14ac:dyDescent="0.35">
      <c r="A871" s="1">
        <v>44016</v>
      </c>
      <c r="B871">
        <v>4291</v>
      </c>
      <c r="C871" t="s">
        <v>42</v>
      </c>
      <c r="D871">
        <v>72</v>
      </c>
      <c r="E871">
        <v>36.048000000000002</v>
      </c>
      <c r="F871">
        <v>1</v>
      </c>
      <c r="G871" t="s">
        <v>40</v>
      </c>
      <c r="H871" t="s">
        <v>22</v>
      </c>
      <c r="I871" t="s">
        <v>45</v>
      </c>
      <c r="J871" t="s">
        <v>25</v>
      </c>
      <c r="K871">
        <v>7</v>
      </c>
      <c r="L871">
        <v>0</v>
      </c>
      <c r="M871" s="2">
        <f t="shared" si="13"/>
        <v>2595.4560000000001</v>
      </c>
      <c r="N871" s="2" t="str">
        <f>IF(Tabla1[[#This Row],[Aprobación_Veterinaria]]=1,"APROBADO","NO APROBADO")</f>
        <v>APROBADO</v>
      </c>
      <c r="O871" t="str">
        <f>IF(Tabla1[[#This Row],[Repite compra?]]=1,"REPITE","NO REPITE")</f>
        <v>NO REPITE</v>
      </c>
      <c r="P871" t="str">
        <f>IF(Tabla1[[#This Row],[rating_segun encuesta a Consumidor]]&lt;5,"Regular",IF(Tabla1[[#This Row],[rating_segun encuesta a Consumidor]]&gt;8,"Excelente","Bueno"))</f>
        <v>Bueno</v>
      </c>
    </row>
    <row r="872" spans="1:16" x14ac:dyDescent="0.35">
      <c r="A872" s="1">
        <v>44067</v>
      </c>
      <c r="B872">
        <v>4733</v>
      </c>
      <c r="C872" t="s">
        <v>30</v>
      </c>
      <c r="D872">
        <v>82</v>
      </c>
      <c r="E872">
        <v>59.376000000000005</v>
      </c>
      <c r="F872">
        <v>0</v>
      </c>
      <c r="G872" t="s">
        <v>16</v>
      </c>
      <c r="H872" t="s">
        <v>50</v>
      </c>
      <c r="I872" t="s">
        <v>41</v>
      </c>
      <c r="J872" t="s">
        <v>23</v>
      </c>
      <c r="K872">
        <v>7</v>
      </c>
      <c r="L872">
        <v>0</v>
      </c>
      <c r="M872" s="2">
        <f t="shared" si="13"/>
        <v>4868.8320000000003</v>
      </c>
      <c r="N872" s="2" t="str">
        <f>IF(Tabla1[[#This Row],[Aprobación_Veterinaria]]=1,"APROBADO","NO APROBADO")</f>
        <v>NO APROBADO</v>
      </c>
      <c r="O872" t="str">
        <f>IF(Tabla1[[#This Row],[Repite compra?]]=1,"REPITE","NO REPITE")</f>
        <v>NO REPITE</v>
      </c>
      <c r="P872" t="str">
        <f>IF(Tabla1[[#This Row],[rating_segun encuesta a Consumidor]]&lt;5,"Regular",IF(Tabla1[[#This Row],[rating_segun encuesta a Consumidor]]&gt;8,"Excelente","Bueno"))</f>
        <v>Bueno</v>
      </c>
    </row>
    <row r="873" spans="1:16" x14ac:dyDescent="0.35">
      <c r="A873" s="1">
        <v>44110</v>
      </c>
      <c r="B873">
        <v>4927</v>
      </c>
      <c r="C873" t="s">
        <v>26</v>
      </c>
      <c r="D873">
        <v>114</v>
      </c>
      <c r="E873">
        <v>56.387999999999998</v>
      </c>
      <c r="F873">
        <v>1</v>
      </c>
      <c r="G873" t="s">
        <v>21</v>
      </c>
      <c r="H873" t="s">
        <v>38</v>
      </c>
      <c r="I873" t="s">
        <v>41</v>
      </c>
      <c r="J873" t="s">
        <v>23</v>
      </c>
      <c r="K873">
        <v>6</v>
      </c>
      <c r="L873">
        <v>0</v>
      </c>
      <c r="M873" s="2">
        <f t="shared" si="13"/>
        <v>6428.232</v>
      </c>
      <c r="N873" s="2" t="str">
        <f>IF(Tabla1[[#This Row],[Aprobación_Veterinaria]]=1,"APROBADO","NO APROBADO")</f>
        <v>APROBADO</v>
      </c>
      <c r="O873" t="str">
        <f>IF(Tabla1[[#This Row],[Repite compra?]]=1,"REPITE","NO REPITE")</f>
        <v>NO REPITE</v>
      </c>
      <c r="P873" t="str">
        <f>IF(Tabla1[[#This Row],[rating_segun encuesta a Consumidor]]&lt;5,"Regular",IF(Tabla1[[#This Row],[rating_segun encuesta a Consumidor]]&gt;8,"Excelente","Bueno"))</f>
        <v>Bueno</v>
      </c>
    </row>
    <row r="874" spans="1:16" x14ac:dyDescent="0.35">
      <c r="A874" s="1">
        <v>44164</v>
      </c>
      <c r="B874">
        <v>4949</v>
      </c>
      <c r="C874" t="s">
        <v>20</v>
      </c>
      <c r="D874">
        <v>217</v>
      </c>
      <c r="E874">
        <v>9.4920000000000009</v>
      </c>
      <c r="F874">
        <v>1</v>
      </c>
      <c r="G874" t="s">
        <v>24</v>
      </c>
      <c r="H874" t="s">
        <v>54</v>
      </c>
      <c r="I874" t="s">
        <v>41</v>
      </c>
      <c r="J874" t="s">
        <v>23</v>
      </c>
      <c r="K874">
        <v>6</v>
      </c>
      <c r="L874">
        <v>0</v>
      </c>
      <c r="M874" s="2">
        <f t="shared" si="13"/>
        <v>2059.7640000000001</v>
      </c>
      <c r="N874" s="2" t="str">
        <f>IF(Tabla1[[#This Row],[Aprobación_Veterinaria]]=1,"APROBADO","NO APROBADO")</f>
        <v>APROBADO</v>
      </c>
      <c r="O874" t="str">
        <f>IF(Tabla1[[#This Row],[Repite compra?]]=1,"REPITE","NO REPITE")</f>
        <v>NO REPITE</v>
      </c>
      <c r="P874" t="str">
        <f>IF(Tabla1[[#This Row],[rating_segun encuesta a Consumidor]]&lt;5,"Regular",IF(Tabla1[[#This Row],[rating_segun encuesta a Consumidor]]&gt;8,"Excelente","Bueno"))</f>
        <v>Bueno</v>
      </c>
    </row>
    <row r="875" spans="1:16" x14ac:dyDescent="0.35">
      <c r="A875" s="1">
        <v>44171</v>
      </c>
      <c r="B875">
        <v>4343</v>
      </c>
      <c r="C875" t="s">
        <v>15</v>
      </c>
      <c r="D875">
        <v>212</v>
      </c>
      <c r="E875">
        <v>119.85600000000001</v>
      </c>
      <c r="F875">
        <v>1</v>
      </c>
      <c r="G875" t="s">
        <v>27</v>
      </c>
      <c r="H875" t="s">
        <v>22</v>
      </c>
      <c r="I875" t="s">
        <v>41</v>
      </c>
      <c r="J875" t="s">
        <v>23</v>
      </c>
      <c r="K875">
        <v>10</v>
      </c>
      <c r="L875">
        <v>1</v>
      </c>
      <c r="M875" s="2">
        <f t="shared" si="13"/>
        <v>25409.472000000002</v>
      </c>
      <c r="N875" s="2" t="str">
        <f>IF(Tabla1[[#This Row],[Aprobación_Veterinaria]]=1,"APROBADO","NO APROBADO")</f>
        <v>APROBADO</v>
      </c>
      <c r="O875" t="str">
        <f>IF(Tabla1[[#This Row],[Repite compra?]]=1,"REPITE","NO REPITE")</f>
        <v>REPITE</v>
      </c>
      <c r="P875" t="str">
        <f>IF(Tabla1[[#This Row],[rating_segun encuesta a Consumidor]]&lt;5,"Regular",IF(Tabla1[[#This Row],[rating_segun encuesta a Consumidor]]&gt;8,"Excelente","Bueno"))</f>
        <v>Excelente</v>
      </c>
    </row>
    <row r="876" spans="1:16" x14ac:dyDescent="0.35">
      <c r="A876" s="1">
        <v>43996</v>
      </c>
      <c r="B876">
        <v>4999</v>
      </c>
      <c r="C876" t="s">
        <v>26</v>
      </c>
      <c r="D876">
        <v>27</v>
      </c>
      <c r="E876">
        <v>135.624</v>
      </c>
      <c r="F876">
        <v>1</v>
      </c>
      <c r="G876" t="s">
        <v>31</v>
      </c>
      <c r="H876" t="s">
        <v>54</v>
      </c>
      <c r="I876" t="s">
        <v>41</v>
      </c>
      <c r="J876" t="s">
        <v>49</v>
      </c>
      <c r="K876">
        <v>6</v>
      </c>
      <c r="L876">
        <v>0</v>
      </c>
      <c r="M876" s="2">
        <f t="shared" si="13"/>
        <v>3661.848</v>
      </c>
      <c r="N876" s="2" t="str">
        <f>IF(Tabla1[[#This Row],[Aprobación_Veterinaria]]=1,"APROBADO","NO APROBADO")</f>
        <v>APROBADO</v>
      </c>
      <c r="O876" t="str">
        <f>IF(Tabla1[[#This Row],[Repite compra?]]=1,"REPITE","NO REPITE")</f>
        <v>NO REPITE</v>
      </c>
      <c r="P876" t="str">
        <f>IF(Tabla1[[#This Row],[rating_segun encuesta a Consumidor]]&lt;5,"Regular",IF(Tabla1[[#This Row],[rating_segun encuesta a Consumidor]]&gt;8,"Excelente","Bueno"))</f>
        <v>Bueno</v>
      </c>
    </row>
    <row r="877" spans="1:16" x14ac:dyDescent="0.35">
      <c r="A877" s="1">
        <v>43865</v>
      </c>
      <c r="B877">
        <v>4243</v>
      </c>
      <c r="C877" t="s">
        <v>26</v>
      </c>
      <c r="D877">
        <v>76</v>
      </c>
      <c r="E877">
        <v>160.68</v>
      </c>
      <c r="F877">
        <v>0</v>
      </c>
      <c r="G877" t="s">
        <v>33</v>
      </c>
      <c r="H877" t="s">
        <v>22</v>
      </c>
      <c r="I877" t="s">
        <v>41</v>
      </c>
      <c r="J877" t="s">
        <v>25</v>
      </c>
      <c r="K877">
        <v>8</v>
      </c>
      <c r="L877">
        <v>0</v>
      </c>
      <c r="M877" s="2">
        <f t="shared" si="13"/>
        <v>12211.68</v>
      </c>
      <c r="N877" s="2" t="str">
        <f>IF(Tabla1[[#This Row],[Aprobación_Veterinaria]]=1,"APROBADO","NO APROBADO")</f>
        <v>NO APROBADO</v>
      </c>
      <c r="O877" t="str">
        <f>IF(Tabla1[[#This Row],[Repite compra?]]=1,"REPITE","NO REPITE")</f>
        <v>NO REPITE</v>
      </c>
      <c r="P877" t="str">
        <f>IF(Tabla1[[#This Row],[rating_segun encuesta a Consumidor]]&lt;5,"Regular",IF(Tabla1[[#This Row],[rating_segun encuesta a Consumidor]]&gt;8,"Excelente","Bueno"))</f>
        <v>Bueno</v>
      </c>
    </row>
    <row r="878" spans="1:16" x14ac:dyDescent="0.35">
      <c r="A878" s="1">
        <v>44068</v>
      </c>
      <c r="B878">
        <v>4783</v>
      </c>
      <c r="C878" t="s">
        <v>26</v>
      </c>
      <c r="D878">
        <v>162</v>
      </c>
      <c r="E878">
        <v>206.88</v>
      </c>
      <c r="F878">
        <v>1</v>
      </c>
      <c r="G878" t="s">
        <v>34</v>
      </c>
      <c r="H878" t="s">
        <v>50</v>
      </c>
      <c r="I878" t="s">
        <v>41</v>
      </c>
      <c r="J878" t="s">
        <v>23</v>
      </c>
      <c r="K878">
        <v>7</v>
      </c>
      <c r="L878">
        <v>1</v>
      </c>
      <c r="M878" s="2">
        <f t="shared" si="13"/>
        <v>33514.559999999998</v>
      </c>
      <c r="N878" s="2" t="str">
        <f>IF(Tabla1[[#This Row],[Aprobación_Veterinaria]]=1,"APROBADO","NO APROBADO")</f>
        <v>APROBADO</v>
      </c>
      <c r="O878" t="str">
        <f>IF(Tabla1[[#This Row],[Repite compra?]]=1,"REPITE","NO REPITE")</f>
        <v>REPITE</v>
      </c>
      <c r="P878" t="str">
        <f>IF(Tabla1[[#This Row],[rating_segun encuesta a Consumidor]]&lt;5,"Regular",IF(Tabla1[[#This Row],[rating_segun encuesta a Consumidor]]&gt;8,"Excelente","Bueno"))</f>
        <v>Bueno</v>
      </c>
    </row>
    <row r="879" spans="1:16" x14ac:dyDescent="0.35">
      <c r="A879" s="1">
        <v>44048</v>
      </c>
      <c r="B879">
        <v>4664</v>
      </c>
      <c r="C879" t="s">
        <v>32</v>
      </c>
      <c r="D879">
        <v>34</v>
      </c>
      <c r="E879">
        <v>183.828</v>
      </c>
      <c r="F879">
        <v>1</v>
      </c>
      <c r="G879" t="s">
        <v>36</v>
      </c>
      <c r="H879" t="s">
        <v>22</v>
      </c>
      <c r="I879" t="s">
        <v>28</v>
      </c>
      <c r="J879" t="s">
        <v>29</v>
      </c>
      <c r="K879">
        <v>10</v>
      </c>
      <c r="L879">
        <v>1</v>
      </c>
      <c r="M879" s="2">
        <f t="shared" si="13"/>
        <v>6250.152</v>
      </c>
      <c r="N879" s="2" t="str">
        <f>IF(Tabla1[[#This Row],[Aprobación_Veterinaria]]=1,"APROBADO","NO APROBADO")</f>
        <v>APROBADO</v>
      </c>
      <c r="O879" t="str">
        <f>IF(Tabla1[[#This Row],[Repite compra?]]=1,"REPITE","NO REPITE")</f>
        <v>REPITE</v>
      </c>
      <c r="P879" t="str">
        <f>IF(Tabla1[[#This Row],[rating_segun encuesta a Consumidor]]&lt;5,"Regular",IF(Tabla1[[#This Row],[rating_segun encuesta a Consumidor]]&gt;8,"Excelente","Bueno"))</f>
        <v>Excelente</v>
      </c>
    </row>
    <row r="880" spans="1:16" x14ac:dyDescent="0.35">
      <c r="A880" s="1">
        <v>44160</v>
      </c>
      <c r="B880">
        <v>4850</v>
      </c>
      <c r="C880" t="s">
        <v>20</v>
      </c>
      <c r="D880">
        <v>54</v>
      </c>
      <c r="E880">
        <v>158.62800000000001</v>
      </c>
      <c r="F880">
        <v>0</v>
      </c>
      <c r="G880" t="s">
        <v>37</v>
      </c>
      <c r="H880" t="s">
        <v>44</v>
      </c>
      <c r="I880" t="s">
        <v>18</v>
      </c>
      <c r="J880" t="s">
        <v>29</v>
      </c>
      <c r="K880">
        <v>1</v>
      </c>
      <c r="L880">
        <v>1</v>
      </c>
      <c r="M880" s="2">
        <f t="shared" si="13"/>
        <v>8565.9120000000003</v>
      </c>
      <c r="N880" s="2" t="str">
        <f>IF(Tabla1[[#This Row],[Aprobación_Veterinaria]]=1,"APROBADO","NO APROBADO")</f>
        <v>NO APROBADO</v>
      </c>
      <c r="O880" t="str">
        <f>IF(Tabla1[[#This Row],[Repite compra?]]=1,"REPITE","NO REPITE")</f>
        <v>REPITE</v>
      </c>
      <c r="P880" t="str">
        <f>IF(Tabla1[[#This Row],[rating_segun encuesta a Consumidor]]&lt;5,"Regular",IF(Tabla1[[#This Row],[rating_segun encuesta a Consumidor]]&gt;8,"Excelente","Bueno"))</f>
        <v>Regular</v>
      </c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7A68-EE94-48C1-8E8C-DDD52C379FAE}">
  <sheetPr>
    <pageSetUpPr fitToPage="1"/>
  </sheetPr>
  <dimension ref="A1:V2"/>
  <sheetViews>
    <sheetView tabSelected="1" topLeftCell="A39" workbookViewId="0">
      <selection activeCell="A50" sqref="A50"/>
    </sheetView>
  </sheetViews>
  <sheetFormatPr baseColWidth="10" defaultRowHeight="14.5" x14ac:dyDescent="0.35"/>
  <sheetData>
    <row r="1" spans="1:22" x14ac:dyDescent="0.35">
      <c r="U1" s="1">
        <f ca="1">TODAY()</f>
        <v>45834</v>
      </c>
    </row>
    <row r="2" spans="1:22" ht="26" x14ac:dyDescent="0.6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</sheetData>
  <mergeCells count="1">
    <mergeCell ref="A2:V2"/>
  </mergeCells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rowBreaks count="1" manualBreakCount="1">
    <brk id="4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4946C-3C2F-405F-B3E7-B8284535E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Detalle1</vt:lpstr>
      <vt:lpstr>ANALISIS</vt:lpstr>
      <vt:lpstr>ANALISIS (2)</vt:lpstr>
      <vt:lpstr>Hoja6</vt:lpstr>
      <vt:lpstr>Hoja5</vt:lpstr>
      <vt:lpstr>Hoja4</vt:lpstr>
      <vt:lpstr>Hoja3</vt:lpstr>
      <vt:lpstr>Hoja2</vt:lpstr>
      <vt:lpstr>Hoja1</vt:lpstr>
      <vt:lpstr>Importaciones</vt:lpstr>
      <vt:lpstr>Informe</vt:lpstr>
      <vt:lpstr>Informe!Títulos_a_imprimir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Villacorta</dc:creator>
  <cp:keywords/>
  <dc:description/>
  <cp:lastModifiedBy>Cecilia Villacorta</cp:lastModifiedBy>
  <cp:revision/>
  <cp:lastPrinted>2025-06-26T14:34:24Z</cp:lastPrinted>
  <dcterms:created xsi:type="dcterms:W3CDTF">2025-06-16T08:36:05Z</dcterms:created>
  <dcterms:modified xsi:type="dcterms:W3CDTF">2025-06-26T14:35:22Z</dcterms:modified>
  <cp:category/>
  <cp:contentStatus/>
</cp:coreProperties>
</file>